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EventID" sheetId="2" r:id="rId6"/>
    <sheet state="visible" name="GamesId" sheetId="3" r:id="rId7"/>
    <sheet state="visible" name="PlayerID" sheetId="4" r:id="rId8"/>
    <sheet state="visible" name="TeamsID" sheetId="5" r:id="rId9"/>
  </sheets>
  <definedNames/>
  <calcPr/>
</workbook>
</file>

<file path=xl/sharedStrings.xml><?xml version="1.0" encoding="utf-8"?>
<sst xmlns="http://schemas.openxmlformats.org/spreadsheetml/2006/main" count="739" uniqueCount="209">
  <si>
    <t>Dashboard</t>
  </si>
  <si>
    <t>Overall</t>
  </si>
  <si>
    <t>W</t>
  </si>
  <si>
    <t>L</t>
  </si>
  <si>
    <t>T</t>
  </si>
  <si>
    <t>PTS</t>
  </si>
  <si>
    <t>GF</t>
  </si>
  <si>
    <t>GA</t>
  </si>
  <si>
    <t>GD</t>
  </si>
  <si>
    <t>PCT</t>
  </si>
  <si>
    <t>MP</t>
  </si>
  <si>
    <t>BRAZUKAS</t>
  </si>
  <si>
    <t>RECEBA</t>
  </si>
  <si>
    <t>Gols</t>
  </si>
  <si>
    <t>Team Name</t>
  </si>
  <si>
    <t>Assists</t>
  </si>
  <si>
    <t>PlayerName</t>
  </si>
  <si>
    <t>Brazukas</t>
  </si>
  <si>
    <t>RECEBA FC</t>
  </si>
  <si>
    <t>Grand Total</t>
  </si>
  <si>
    <t>Arthur Mendes</t>
  </si>
  <si>
    <t>Guilherme Kuster</t>
  </si>
  <si>
    <t>Rafael Mattos</t>
  </si>
  <si>
    <t>Rafael Franco</t>
  </si>
  <si>
    <t>Cleiton Góes</t>
  </si>
  <si>
    <t>Marcelo Mazzafera</t>
  </si>
  <si>
    <t>Sergio Filho</t>
  </si>
  <si>
    <t>Ranieri Filho</t>
  </si>
  <si>
    <t>Pablo Rodrigues</t>
  </si>
  <si>
    <t>Emerson Bernardes</t>
  </si>
  <si>
    <t>Tamir Guy</t>
  </si>
  <si>
    <t>Caio Scofield</t>
  </si>
  <si>
    <t>Gustavo Bitencourt</t>
  </si>
  <si>
    <t>Flavio</t>
  </si>
  <si>
    <t>Joao Pinto</t>
  </si>
  <si>
    <t>Joao Barros</t>
  </si>
  <si>
    <t>EventID</t>
  </si>
  <si>
    <t>EventType</t>
  </si>
  <si>
    <t>Event</t>
  </si>
  <si>
    <t>TeamID</t>
  </si>
  <si>
    <t>MatchID</t>
  </si>
  <si>
    <t>PlayerID</t>
  </si>
  <si>
    <t>Qty</t>
  </si>
  <si>
    <t>Desc</t>
  </si>
  <si>
    <t>Date</t>
  </si>
  <si>
    <t>Temporada</t>
  </si>
  <si>
    <t>MatchStat</t>
  </si>
  <si>
    <t>Gol</t>
  </si>
  <si>
    <t>Arthur driblou 3 dividiu com goleiro e botou bola pra dentro</t>
  </si>
  <si>
    <t>Arthur pegou rebote em chute do Kuster</t>
  </si>
  <si>
    <t>Assist</t>
  </si>
  <si>
    <t xml:space="preserve">Claiton Assist pro gol 4 do Arthur. </t>
  </si>
  <si>
    <t>Arthur marcou 4 gols nesse jogo</t>
  </si>
  <si>
    <t>Blue Card</t>
  </si>
  <si>
    <t>Agarrou jogador no contra ataque</t>
  </si>
  <si>
    <t>atrapalhou saida do goleiro</t>
  </si>
  <si>
    <t>1 pro gol so arthur, 1 pro rato, 1 pro rani</t>
  </si>
  <si>
    <t>Assist do Sergio</t>
  </si>
  <si>
    <t>Assist to sergio</t>
  </si>
  <si>
    <t>Obs</t>
  </si>
  <si>
    <t>Juiza FDP</t>
  </si>
  <si>
    <t>TeamStat</t>
  </si>
  <si>
    <t>StarPlayer</t>
  </si>
  <si>
    <t xml:space="preserve">Rexona q fede pra porra </t>
  </si>
  <si>
    <t>MissedPK</t>
  </si>
  <si>
    <t>Kuster Perdeu penalti</t>
  </si>
  <si>
    <t>Gol 1- Arthur Chuta forte da ponta direita.</t>
  </si>
  <si>
    <t>Gol 2 -  Kuster Chuta de canhota do meio da rua cruzado. Bola vai no canto e goleiro aceita</t>
  </si>
  <si>
    <t>Gol 3 - Cleiton dribla 2 na entrada da area e bate por cima do goleiro. Golaço</t>
  </si>
  <si>
    <t>Gol 4 - Kuster pegar rebote na area</t>
  </si>
  <si>
    <t>Gol 5 - Sergio faz gol em bela triangulacao. Assist do Rani</t>
  </si>
  <si>
    <t>Gol 6 - Em outra triangulacao , Rafa matos desvia e bola sobra no meio da area para Sergio botar pra dentro</t>
  </si>
  <si>
    <t>Goleiro Higuita</t>
  </si>
  <si>
    <t xml:space="preserve">Sérgio perdendo bola e mandando aí canela pra não voltar , cara mandou um alley woop pro gol </t>
  </si>
  <si>
    <t>Gol 1- Gol kuster. Assistencia usando tabela do Arthur</t>
  </si>
  <si>
    <t>Gol 2-  Golasso do mazza. Golasso pq dificultou o lance sozinho aí teve q driblar uns 3</t>
  </si>
  <si>
    <t>Gol 3- Rato chute da ponta esquerda. Assist Cleiton</t>
  </si>
  <si>
    <t>Gol 4-Kuster chute de longe. Goleirão q tava bem foi dar golpe de vista e passou vergonha. Não lembro da assists. Acho q kuster roubou bola</t>
  </si>
  <si>
    <t>Gol 5- Rato rouba bola no ataque num bate rebate e poe pra dentro</t>
  </si>
  <si>
    <t>Gol 6- Arthur recebe Passe de penis domina na velocidade pra cima do zagueiro e bate no meio das perna do goleiro</t>
  </si>
  <si>
    <t>Missed Chance</t>
  </si>
  <si>
    <t>Mazza perdeu um gol  100% na escala deivid. Outro 50% no final do jogo</t>
  </si>
  <si>
    <t>Gol 1-  Joao Barros rouba bola no campo de defesa conduz a bola ate a intermediaria e solta um tiro de longa distancia</t>
  </si>
  <si>
    <t>Gol 2 - Gol Gustavo. Assist Cleiton</t>
  </si>
  <si>
    <t>Gol 3 - Gol do tamir depois de passe do Caio</t>
  </si>
  <si>
    <t xml:space="preserve">Gol 4 - Gol Arthur, chute cruzado da ponta direita. Assit do tamir cobrando lateral. </t>
  </si>
  <si>
    <t>Gol 1 - Gol do Arthur. Sérgio estica pro rato q passa pro meio. Arthur domina tirando do zagueiro e goleiro e bate cruzado pra dentro do gol</t>
  </si>
  <si>
    <t>Gol 2 - Mazza. Jogada pela ponta esquerda humilhando o zagueiro e deu de biquinho no meio das perna do goleiro</t>
  </si>
  <si>
    <t>Gol 3 - Ranieri. Contra ataque assist do Emerson . Corta luz a lá Rivaldo do Cleiton. Ranierto carlos fuzilou pra dentro.</t>
  </si>
  <si>
    <t>Gol 4 - Gol do Penis. Tabela com Emerson em um contra ataque</t>
  </si>
  <si>
    <t>Gol 5 -  Gol do rato. Arthur tabela com Sérgio e depois serve o rato no meio da área</t>
  </si>
  <si>
    <t>Gol 6 - Gol do rato. Arthur da passe milimétrico pelo meio pro rato q coloca pra dentro</t>
  </si>
  <si>
    <t>Matuzalem</t>
  </si>
  <si>
    <t>Xuxa completou pra esse time hj. Apanhou e ainda tomo elástico e outros drible humilhante do cleito.</t>
  </si>
  <si>
    <t>Gol 1 - Gol do Arthur. dribla o goleiro apos rafa mattos dividir bola no ataque</t>
  </si>
  <si>
    <t xml:space="preserve">Gol 2 - Gol do kuster ganhando duas divididas e batendo pro gol </t>
  </si>
  <si>
    <t>Gol 3 - Gol Kuster dominando de pescoco um tijolo q o JB msandou. Lindo voleio de canhota</t>
  </si>
  <si>
    <t>Gol 4 - Rato de dentro da area completa cruzamento/chute de biquinho do Rafa Mattos</t>
  </si>
  <si>
    <t>Gol Mazza Assist Pablo</t>
  </si>
  <si>
    <t>Gol Flavio Assist Kuster</t>
  </si>
  <si>
    <t>Gol de falta do Mazza</t>
  </si>
  <si>
    <t>Gol Cleiton passe Kuster</t>
  </si>
  <si>
    <t>Gol Rani Assist Mazza</t>
  </si>
  <si>
    <t>Gol mazza driblando todo mundo</t>
  </si>
  <si>
    <t>Gol Pablo assist rato</t>
  </si>
  <si>
    <t>Gol de letra do Cleito assist Kuster</t>
  </si>
  <si>
    <t>Gol Rato rebote Kuster</t>
  </si>
  <si>
    <t>Gol Kuster Assist Cleiton</t>
  </si>
  <si>
    <t>Gol Pablo assist Mazza</t>
  </si>
  <si>
    <t xml:space="preserve">Gol pablo driblando </t>
  </si>
  <si>
    <t>Gol Flavio</t>
  </si>
  <si>
    <t>Kuster sobrou na are</t>
  </si>
  <si>
    <t>Rafa Mattos</t>
  </si>
  <si>
    <t>Gol Gus, passe do Kuster</t>
  </si>
  <si>
    <t>Gol Tamir passe do Rato</t>
  </si>
  <si>
    <t>Gol Rani assist Kuster</t>
  </si>
  <si>
    <t>Gol sergio assist Gus</t>
  </si>
  <si>
    <t>Gol Gus passe do Kuster</t>
  </si>
  <si>
    <t>GameID</t>
  </si>
  <si>
    <t>Home_Team</t>
  </si>
  <si>
    <t>Home_Score</t>
  </si>
  <si>
    <t>Away_Team</t>
  </si>
  <si>
    <t>Away_Score</t>
  </si>
  <si>
    <t>Time</t>
  </si>
  <si>
    <t>Org</t>
  </si>
  <si>
    <t>Venue</t>
  </si>
  <si>
    <t>League</t>
  </si>
  <si>
    <t>HomeID</t>
  </si>
  <si>
    <t>AwayID</t>
  </si>
  <si>
    <t>Home Result</t>
  </si>
  <si>
    <t>Magnuson</t>
  </si>
  <si>
    <t>Tues Men's D Summer 21</t>
  </si>
  <si>
    <t>Tues Men's D Fall 21</t>
  </si>
  <si>
    <t>Tues Men's D Winter 21</t>
  </si>
  <si>
    <t>Tues Men's D Winter II 22</t>
  </si>
  <si>
    <t>Tues Men's D Spring 22</t>
  </si>
  <si>
    <t>Tues Men's D Summer 22</t>
  </si>
  <si>
    <t>Tues Men's D Fall 22</t>
  </si>
  <si>
    <t>Tues Men's D Winter I 22</t>
  </si>
  <si>
    <t>Tues Men's D Winter II 23</t>
  </si>
  <si>
    <t>Tues Men's D Spring 23</t>
  </si>
  <si>
    <t>SODO</t>
  </si>
  <si>
    <t>Redmond</t>
  </si>
  <si>
    <t>LAX</t>
  </si>
  <si>
    <t>Thurs Men's D Winter II 23</t>
  </si>
  <si>
    <t>Side</t>
  </si>
  <si>
    <t>Main</t>
  </si>
  <si>
    <t>Thurs Men's D Spring 23</t>
  </si>
  <si>
    <t>Issaquah</t>
  </si>
  <si>
    <t>Matches Played</t>
  </si>
  <si>
    <t xml:space="preserve">Marcelo </t>
  </si>
  <si>
    <t>Guilherme Souza</t>
  </si>
  <si>
    <t>Igor Kovacs</t>
  </si>
  <si>
    <t>Luiz Felipe Mourao</t>
  </si>
  <si>
    <t>Home Color</t>
  </si>
  <si>
    <t>Away Color</t>
  </si>
  <si>
    <t>Ex Name</t>
  </si>
  <si>
    <t>White</t>
  </si>
  <si>
    <t>Yellow</t>
  </si>
  <si>
    <t>Immune to Defense</t>
  </si>
  <si>
    <t>Husar</t>
  </si>
  <si>
    <t>Blackfoot Ballers</t>
  </si>
  <si>
    <t>KOMPAS</t>
  </si>
  <si>
    <t>Advil United</t>
  </si>
  <si>
    <t>Faceball</t>
  </si>
  <si>
    <t>Seattle Americans</t>
  </si>
  <si>
    <t>FC Twente One</t>
  </si>
  <si>
    <t>No Tactics, Just Vibes</t>
  </si>
  <si>
    <t>Magma</t>
  </si>
  <si>
    <t>Fuchester United</t>
  </si>
  <si>
    <t>Crouch Potatoes</t>
  </si>
  <si>
    <t>Show me da Mane</t>
  </si>
  <si>
    <t>Edge Delta</t>
  </si>
  <si>
    <t>Wolves</t>
  </si>
  <si>
    <t>Un Real</t>
  </si>
  <si>
    <t>Kroos Control</t>
  </si>
  <si>
    <t>FC #!bash</t>
  </si>
  <si>
    <t>The Mighty Molars</t>
  </si>
  <si>
    <t>Supermokh FC</t>
  </si>
  <si>
    <t>Advil</t>
  </si>
  <si>
    <t>Tuesday Gold</t>
  </si>
  <si>
    <t>Mid Field Crisis</t>
  </si>
  <si>
    <t>Axolotls</t>
  </si>
  <si>
    <t>Semi-Pro Conductors</t>
  </si>
  <si>
    <t>Boomers</t>
  </si>
  <si>
    <t>The Roaring Eagles</t>
  </si>
  <si>
    <t>FC Allegro</t>
  </si>
  <si>
    <t>Kharkiv Football Club</t>
  </si>
  <si>
    <t>Chaos!</t>
  </si>
  <si>
    <t>Rocket Shots II</t>
  </si>
  <si>
    <t>BB 2.0</t>
  </si>
  <si>
    <t>Seattle Sperm Bank</t>
  </si>
  <si>
    <t>LivePerson</t>
  </si>
  <si>
    <t>Blue Horseshoes</t>
  </si>
  <si>
    <t>My Chemical Bromance</t>
  </si>
  <si>
    <t>Latin Heat</t>
  </si>
  <si>
    <t>Niupi</t>
  </si>
  <si>
    <t>Sitting Ducks</t>
  </si>
  <si>
    <t>magniFC</t>
  </si>
  <si>
    <t>Kernel FC</t>
  </si>
  <si>
    <t>Half Boiled Eggs</t>
  </si>
  <si>
    <t>Do it again!</t>
  </si>
  <si>
    <t>Dribblers FC</t>
  </si>
  <si>
    <t>Team Cookie</t>
  </si>
  <si>
    <t>Schedule Chickens</t>
  </si>
  <si>
    <t>Real Mandrink</t>
  </si>
  <si>
    <t>Pipe Dream</t>
  </si>
  <si>
    <t>Dirty Dozen</t>
  </si>
  <si>
    <t>Casa Real AC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</si>
</sst>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  <font>
      <color rgb="FFFFFFFF"/>
      <name val="Arial"/>
      <scheme val="minor"/>
    </font>
    <font>
      <sz val="9.0"/>
      <color rgb="FF000000"/>
      <name val="&quot;Google Sans Mono&quot;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9900FF"/>
        <bgColor rgb="FF9900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readingOrder="0"/>
    </xf>
    <xf borderId="1" fillId="2" fontId="2" numFmtId="0" xfId="0" applyAlignment="1" applyBorder="1" applyFont="1">
      <alignment horizontal="center" readingOrder="0"/>
    </xf>
    <xf borderId="0" fillId="0" fontId="3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center"/>
    </xf>
    <xf borderId="1" fillId="3" fontId="4" numFmtId="0" xfId="0" applyAlignment="1" applyBorder="1" applyFill="1" applyFont="1">
      <alignment horizontal="center"/>
    </xf>
    <xf borderId="1" fillId="0" fontId="1" numFmtId="10" xfId="0" applyAlignment="1" applyBorder="1" applyFont="1" applyNumberFormat="1">
      <alignment horizontal="center"/>
    </xf>
    <xf borderId="0" fillId="0" fontId="1" numFmtId="0" xfId="0" applyFont="1"/>
    <xf borderId="0" fillId="0" fontId="1" numFmtId="164" xfId="0" applyFont="1" applyNumberFormat="1"/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vertical="bottom"/>
    </xf>
    <xf borderId="0" fillId="0" fontId="1" numFmtId="164" xfId="0" applyAlignment="1" applyFont="1" applyNumberFormat="1">
      <alignment readingOrder="0"/>
    </xf>
    <xf borderId="0" fillId="0" fontId="1" numFmtId="20" xfId="0" applyAlignment="1" applyFont="1" applyNumberFormat="1">
      <alignment readingOrder="0"/>
    </xf>
    <xf borderId="0" fillId="4" fontId="1" numFmtId="0" xfId="0" applyAlignment="1" applyFill="1" applyFont="1">
      <alignment readingOrder="0"/>
    </xf>
    <xf borderId="0" fillId="4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7.25"/>
    <col customWidth="1" min="7" max="7" width="15.88"/>
  </cols>
  <sheetData>
    <row r="1">
      <c r="A1" s="1" t="s">
        <v>0</v>
      </c>
    </row>
    <row r="2">
      <c r="B2" s="2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</row>
    <row r="3">
      <c r="A3" s="4">
        <v>1.0</v>
      </c>
      <c r="B3" s="5" t="s">
        <v>11</v>
      </c>
      <c r="C3" s="6">
        <f>COUNTIFS(GamesId!K:K,A3,GamesId!M:M,"WIN")+COUNTIFS(GamesId!L:L,A3,GamesId!M:M,"DEFEAT",GamesId!F:F,"&lt;"&amp;TODAY())</f>
        <v>33</v>
      </c>
      <c r="D3" s="7">
        <f>COUNTIFS(GamesId!K:K,A3,GamesId!M:M,"DEFEAT")+COUNTIFS(GamesId!L:L,A3,GamesId!M:M,"WIN",GamesId!F:F,"&lt;"&amp;TODAY())</f>
        <v>44</v>
      </c>
      <c r="E3" s="7">
        <f>COUNTIFS(GamesId!K:K,A3,GamesId!M:M,"TIE",GamesId!F:F,"&lt;"&amp;TODAY())</f>
        <v>13</v>
      </c>
      <c r="F3" s="6">
        <f t="shared" ref="F3:F4" si="1">3*C3+E3</f>
        <v>112</v>
      </c>
      <c r="G3" s="6">
        <f>SUMIFS(GamesId!C:C,GamesId!K:K,A3)+SUMIFS(GamesId!E:E,GamesId!L:L,A3)</f>
        <v>357</v>
      </c>
      <c r="H3" s="7">
        <f>SUMIFS(GamesId!C:C,GamesId!L:L,A3)+SUMIFS(GamesId!E:E,GamesId!K:K,A3)</f>
        <v>381</v>
      </c>
      <c r="I3" s="6">
        <f t="shared" ref="I3:I4" si="2">G3-H3</f>
        <v>-24</v>
      </c>
      <c r="J3" s="8">
        <f t="shared" ref="J3:J4" si="3">F3/(K3*3)</f>
        <v>0.4148148148</v>
      </c>
      <c r="K3" s="6">
        <f t="shared" ref="K3:K4" si="4">C3+D3+E3</f>
        <v>90</v>
      </c>
    </row>
    <row r="4">
      <c r="A4" s="4">
        <v>2.0</v>
      </c>
      <c r="B4" s="5" t="s">
        <v>12</v>
      </c>
      <c r="C4" s="6">
        <f>COUNTIFS(GamesId!K:K,A4,GamesId!M:M,"WIN")+COUNTIFS(GamesId!L:L,A4,GamesId!M:M,"DEFEAT",GamesId!F:F,"&lt;"&amp;TODAY())</f>
        <v>13</v>
      </c>
      <c r="D4" s="7">
        <f>COUNTIFS(GamesId!K:K,A4,GamesId!M:M,"DEFEAT")+COUNTIFS(GamesId!L:L,A4,GamesId!M:M,"WIN",GamesId!F:F,"&lt;"&amp;TODAY())</f>
        <v>1</v>
      </c>
      <c r="E4" s="7">
        <f>COUNTIFS(GamesId!K:K,A4,GamesId!M:M,"TIE",GamesId!F:F,"&lt;"&amp;TODAY())</f>
        <v>6</v>
      </c>
      <c r="F4" s="6">
        <f t="shared" si="1"/>
        <v>45</v>
      </c>
      <c r="G4" s="6">
        <f>SUMIFS(GamesId!C:C,GamesId!K:K,A4)+SUMIFS(GamesId!E:E,GamesId!L:L,A4)</f>
        <v>122</v>
      </c>
      <c r="H4" s="7">
        <f>SUMIFS(GamesId!C:C,GamesId!L:L,A4)+SUMIFS(GamesId!E:E,GamesId!K:K,A4)</f>
        <v>63</v>
      </c>
      <c r="I4" s="6">
        <f t="shared" si="2"/>
        <v>59</v>
      </c>
      <c r="J4" s="8">
        <f t="shared" si="3"/>
        <v>0.75</v>
      </c>
      <c r="K4" s="6">
        <f t="shared" si="4"/>
        <v>20</v>
      </c>
    </row>
    <row r="10">
      <c r="B10" s="9" t="s">
        <v>13</v>
      </c>
      <c r="C10" s="9" t="s">
        <v>14</v>
      </c>
      <c r="D10" s="9"/>
      <c r="E10" s="9"/>
      <c r="G10" s="9" t="s">
        <v>15</v>
      </c>
      <c r="H10" s="9" t="s">
        <v>14</v>
      </c>
      <c r="I10" s="9"/>
      <c r="J10" s="9"/>
    </row>
    <row r="11">
      <c r="B11" s="9" t="s">
        <v>16</v>
      </c>
      <c r="C11" s="9" t="s">
        <v>17</v>
      </c>
      <c r="D11" s="9" t="s">
        <v>18</v>
      </c>
      <c r="E11" s="9" t="s">
        <v>19</v>
      </c>
      <c r="G11" s="9" t="s">
        <v>16</v>
      </c>
      <c r="H11" s="9" t="s">
        <v>17</v>
      </c>
      <c r="I11" s="9" t="s">
        <v>18</v>
      </c>
      <c r="J11" s="9" t="s">
        <v>19</v>
      </c>
    </row>
    <row r="12">
      <c r="B12" s="9" t="s">
        <v>20</v>
      </c>
      <c r="C12" s="9">
        <v>5.0</v>
      </c>
      <c r="D12" s="9">
        <v>6.0</v>
      </c>
      <c r="E12" s="9">
        <v>11.0</v>
      </c>
      <c r="G12" s="9" t="s">
        <v>21</v>
      </c>
      <c r="H12" s="9">
        <v>3.0</v>
      </c>
      <c r="I12" s="9">
        <v>3.0</v>
      </c>
      <c r="J12" s="9">
        <v>6.0</v>
      </c>
    </row>
    <row r="13">
      <c r="B13" s="9" t="s">
        <v>21</v>
      </c>
      <c r="C13" s="9">
        <v>5.0</v>
      </c>
      <c r="D13" s="9">
        <v>3.0</v>
      </c>
      <c r="E13" s="9">
        <v>8.0</v>
      </c>
      <c r="G13" s="9" t="s">
        <v>22</v>
      </c>
      <c r="H13" s="9">
        <v>4.0</v>
      </c>
      <c r="I13" s="9"/>
      <c r="J13" s="9">
        <v>4.0</v>
      </c>
    </row>
    <row r="14">
      <c r="B14" s="9" t="s">
        <v>23</v>
      </c>
      <c r="C14" s="9">
        <v>1.0</v>
      </c>
      <c r="D14" s="9">
        <v>6.0</v>
      </c>
      <c r="E14" s="9">
        <v>7.0</v>
      </c>
      <c r="G14" s="9" t="s">
        <v>24</v>
      </c>
      <c r="H14" s="9">
        <v>1.0</v>
      </c>
      <c r="I14" s="9">
        <v>3.0</v>
      </c>
      <c r="J14" s="9">
        <v>4.0</v>
      </c>
    </row>
    <row r="15">
      <c r="B15" s="9" t="s">
        <v>25</v>
      </c>
      <c r="C15" s="9"/>
      <c r="D15" s="9">
        <v>5.0</v>
      </c>
      <c r="E15" s="9">
        <v>5.0</v>
      </c>
      <c r="G15" s="9" t="s">
        <v>26</v>
      </c>
      <c r="H15" s="9"/>
      <c r="I15" s="9">
        <v>3.0</v>
      </c>
      <c r="J15" s="9">
        <v>3.0</v>
      </c>
    </row>
    <row r="16">
      <c r="B16" s="9" t="s">
        <v>27</v>
      </c>
      <c r="C16" s="9">
        <v>1.0</v>
      </c>
      <c r="D16" s="9">
        <v>3.0</v>
      </c>
      <c r="E16" s="9">
        <v>4.0</v>
      </c>
      <c r="G16" s="9" t="s">
        <v>23</v>
      </c>
      <c r="H16" s="9">
        <v>1.0</v>
      </c>
      <c r="I16" s="9">
        <v>2.0</v>
      </c>
      <c r="J16" s="9">
        <v>3.0</v>
      </c>
    </row>
    <row r="17">
      <c r="B17" s="9" t="s">
        <v>26</v>
      </c>
      <c r="C17" s="9">
        <v>3.0</v>
      </c>
      <c r="D17" s="9"/>
      <c r="E17" s="9">
        <v>3.0</v>
      </c>
      <c r="G17" s="9" t="s">
        <v>20</v>
      </c>
      <c r="H17" s="9"/>
      <c r="I17" s="9">
        <v>3.0</v>
      </c>
      <c r="J17" s="9">
        <v>3.0</v>
      </c>
    </row>
    <row r="18">
      <c r="B18" s="9" t="s">
        <v>28</v>
      </c>
      <c r="C18" s="9"/>
      <c r="D18" s="9">
        <v>3.0</v>
      </c>
      <c r="E18" s="9">
        <v>3.0</v>
      </c>
      <c r="G18" s="9" t="s">
        <v>25</v>
      </c>
      <c r="H18" s="9"/>
      <c r="I18" s="9">
        <v>2.0</v>
      </c>
      <c r="J18" s="9">
        <v>2.0</v>
      </c>
    </row>
    <row r="19">
      <c r="B19" s="9" t="s">
        <v>24</v>
      </c>
      <c r="C19" s="9">
        <v>1.0</v>
      </c>
      <c r="D19" s="9">
        <v>2.0</v>
      </c>
      <c r="E19" s="9">
        <v>3.0</v>
      </c>
      <c r="G19" s="9" t="s">
        <v>29</v>
      </c>
      <c r="H19" s="9"/>
      <c r="I19" s="9">
        <v>2.0</v>
      </c>
      <c r="J19" s="9">
        <v>2.0</v>
      </c>
    </row>
    <row r="20">
      <c r="B20" s="9" t="s">
        <v>30</v>
      </c>
      <c r="C20" s="9">
        <v>2.0</v>
      </c>
      <c r="D20" s="9"/>
      <c r="E20" s="9">
        <v>2.0</v>
      </c>
      <c r="G20" s="9" t="s">
        <v>31</v>
      </c>
      <c r="H20" s="9">
        <v>2.0</v>
      </c>
      <c r="I20" s="9"/>
      <c r="J20" s="9">
        <v>2.0</v>
      </c>
    </row>
    <row r="21">
      <c r="B21" s="9" t="s">
        <v>32</v>
      </c>
      <c r="C21" s="9">
        <v>2.0</v>
      </c>
      <c r="D21" s="9"/>
      <c r="E21" s="9">
        <v>2.0</v>
      </c>
      <c r="G21" s="9" t="s">
        <v>30</v>
      </c>
      <c r="H21" s="9">
        <v>1.0</v>
      </c>
      <c r="I21" s="9"/>
      <c r="J21" s="9">
        <v>1.0</v>
      </c>
    </row>
    <row r="22">
      <c r="B22" s="9" t="s">
        <v>33</v>
      </c>
      <c r="C22" s="9"/>
      <c r="D22" s="9">
        <v>2.0</v>
      </c>
      <c r="E22" s="9">
        <v>2.0</v>
      </c>
      <c r="G22" s="9" t="s">
        <v>27</v>
      </c>
      <c r="H22" s="9">
        <v>1.0</v>
      </c>
      <c r="I22" s="9"/>
      <c r="J22" s="9">
        <v>1.0</v>
      </c>
    </row>
    <row r="23">
      <c r="B23" s="9" t="s">
        <v>22</v>
      </c>
      <c r="C23" s="9">
        <v>1.0</v>
      </c>
      <c r="D23" s="9"/>
      <c r="E23" s="9">
        <v>1.0</v>
      </c>
      <c r="G23" s="9" t="s">
        <v>34</v>
      </c>
      <c r="H23" s="9"/>
      <c r="I23" s="9">
        <v>1.0</v>
      </c>
      <c r="J23" s="9">
        <v>1.0</v>
      </c>
    </row>
    <row r="24">
      <c r="B24" s="9" t="s">
        <v>34</v>
      </c>
      <c r="C24" s="9"/>
      <c r="D24" s="9">
        <v>1.0</v>
      </c>
      <c r="E24" s="9">
        <v>1.0</v>
      </c>
      <c r="G24" s="9" t="s">
        <v>35</v>
      </c>
      <c r="H24" s="9">
        <v>1.0</v>
      </c>
      <c r="I24" s="9"/>
      <c r="J24" s="9">
        <v>1.0</v>
      </c>
    </row>
    <row r="25">
      <c r="B25" s="9" t="s">
        <v>35</v>
      </c>
      <c r="C25" s="9">
        <v>1.0</v>
      </c>
      <c r="D25" s="9"/>
      <c r="E25" s="9">
        <v>1.0</v>
      </c>
      <c r="G25" s="9" t="s">
        <v>32</v>
      </c>
      <c r="H25" s="9">
        <v>1.0</v>
      </c>
      <c r="I25" s="9"/>
      <c r="J25" s="9">
        <v>1.0</v>
      </c>
    </row>
    <row r="26">
      <c r="B26" s="9" t="s">
        <v>19</v>
      </c>
      <c r="C26" s="9">
        <v>22.0</v>
      </c>
      <c r="D26" s="9">
        <v>31.0</v>
      </c>
      <c r="E26" s="9">
        <v>53.0</v>
      </c>
      <c r="G26" s="9" t="s">
        <v>19</v>
      </c>
      <c r="H26" s="9">
        <v>15.0</v>
      </c>
      <c r="I26" s="9">
        <v>19.0</v>
      </c>
      <c r="J26" s="9">
        <v>34.0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5.88"/>
    <col customWidth="1" min="9" max="9" width="44.38"/>
    <col customWidth="1" min="12" max="12" width="18.75"/>
  </cols>
  <sheetData>
    <row r="1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16</v>
      </c>
      <c r="H1" s="1" t="s">
        <v>42</v>
      </c>
      <c r="I1" s="1" t="s">
        <v>43</v>
      </c>
      <c r="J1" s="1" t="s">
        <v>14</v>
      </c>
      <c r="K1" s="1" t="s">
        <v>44</v>
      </c>
      <c r="L1" s="1" t="s">
        <v>45</v>
      </c>
    </row>
    <row r="2">
      <c r="A2" s="1">
        <v>1.0</v>
      </c>
      <c r="B2" s="1" t="s">
        <v>46</v>
      </c>
      <c r="C2" s="1" t="s">
        <v>47</v>
      </c>
      <c r="D2" s="1">
        <v>1.0</v>
      </c>
      <c r="E2" s="9">
        <f>GamesId!A89</f>
        <v>87</v>
      </c>
      <c r="F2" s="1">
        <v>10.0</v>
      </c>
      <c r="G2" s="1" t="str">
        <f t="array" ref="G2">if(ISNUMBER(F2),index(PlayerID!B:B,MATCH(F2,PlayerID!A:A,0)),"")</f>
        <v>Arthur Mendes</v>
      </c>
      <c r="H2" s="1">
        <v>1.0</v>
      </c>
      <c r="I2" s="1" t="s">
        <v>48</v>
      </c>
      <c r="J2" s="9" t="str">
        <f t="array" ref="J2">INDEX(TeamsID!B:B,MATCH(D2,TeamsID!A:A,0))</f>
        <v>Brazukas</v>
      </c>
      <c r="K2" s="10">
        <f t="array" ref="K2">INDEX(GamesId!F:F,MATCH(E2,GamesId!A:A,0))</f>
        <v>45041</v>
      </c>
      <c r="L2" s="9" t="str">
        <f t="array" ref="L2">INDEX(GamesId!J:J,MATCH(E2,GamesId!A:A,0))</f>
        <v>Tues Men's D Spring 23</v>
      </c>
    </row>
    <row r="3">
      <c r="A3" s="1">
        <f t="shared" ref="A3:A93" si="1">A2+1</f>
        <v>2</v>
      </c>
      <c r="B3" s="1" t="s">
        <v>46</v>
      </c>
      <c r="C3" s="1" t="s">
        <v>47</v>
      </c>
      <c r="D3" s="1">
        <v>1.0</v>
      </c>
      <c r="E3" s="9">
        <f>E2</f>
        <v>87</v>
      </c>
      <c r="F3" s="1">
        <v>10.0</v>
      </c>
      <c r="G3" s="1" t="str">
        <f t="array" ref="G3">if(ISNUMBER(F3),index(PlayerID!B:B,MATCH(F3,PlayerID!A:A,0)),"")</f>
        <v>Arthur Mendes</v>
      </c>
      <c r="H3" s="1">
        <v>1.0</v>
      </c>
      <c r="I3" s="1" t="s">
        <v>49</v>
      </c>
      <c r="J3" s="9" t="str">
        <f t="array" ref="J3">INDEX(TeamsID!B:B,MATCH(D3,TeamsID!A:A,0))</f>
        <v>Brazukas</v>
      </c>
      <c r="K3" s="10">
        <f t="array" ref="K3">INDEX(GamesId!F:F,MATCH(E3,GamesId!A:A,0))</f>
        <v>45041</v>
      </c>
      <c r="L3" s="9" t="str">
        <f t="array" ref="L3">INDEX(GamesId!J:J,MATCH(E3,GamesId!A:A,0))</f>
        <v>Tues Men's D Spring 23</v>
      </c>
    </row>
    <row r="4">
      <c r="A4" s="1">
        <f t="shared" si="1"/>
        <v>3</v>
      </c>
      <c r="B4" s="1" t="s">
        <v>46</v>
      </c>
      <c r="C4" s="1" t="s">
        <v>50</v>
      </c>
      <c r="D4" s="1">
        <v>2.0</v>
      </c>
      <c r="E4" s="9">
        <f>GamesId!A112</f>
        <v>110</v>
      </c>
      <c r="F4" s="1">
        <v>8.0</v>
      </c>
      <c r="G4" s="1" t="str">
        <f t="array" ref="G4">if(ISNUMBER(F4),index(PlayerID!B:B,MATCH(F4,PlayerID!A:A,0)),"")</f>
        <v>Cleiton Góes</v>
      </c>
      <c r="H4" s="1">
        <v>1.0</v>
      </c>
      <c r="I4" s="1" t="s">
        <v>51</v>
      </c>
      <c r="J4" s="9" t="str">
        <f t="array" ref="J4">INDEX(TeamsID!B:B,MATCH(D4,TeamsID!A:A,0))</f>
        <v>RECEBA FC</v>
      </c>
      <c r="K4" s="10">
        <f t="array" ref="K4">INDEX(GamesId!F:F,MATCH(E4,GamesId!A:A,0))</f>
        <v>45043</v>
      </c>
      <c r="L4" s="9" t="str">
        <f t="array" ref="L4">INDEX(GamesId!J:J,MATCH(E4,GamesId!A:A,0))</f>
        <v>Thurs Men's D Spring 23</v>
      </c>
    </row>
    <row r="5">
      <c r="A5" s="1">
        <f t="shared" si="1"/>
        <v>4</v>
      </c>
      <c r="B5" s="1" t="s">
        <v>46</v>
      </c>
      <c r="C5" s="1" t="s">
        <v>47</v>
      </c>
      <c r="D5" s="1">
        <v>2.0</v>
      </c>
      <c r="E5" s="1">
        <v>110.0</v>
      </c>
      <c r="F5" s="1">
        <v>10.0</v>
      </c>
      <c r="G5" s="1" t="str">
        <f t="array" ref="G5">if(ISNUMBER(F5),index(PlayerID!B:B,MATCH(F5,PlayerID!A:A,0)),"")</f>
        <v>Arthur Mendes</v>
      </c>
      <c r="H5" s="1">
        <v>4.0</v>
      </c>
      <c r="I5" s="1" t="s">
        <v>52</v>
      </c>
      <c r="J5" s="9" t="str">
        <f t="array" ref="J5">INDEX(TeamsID!B:B,MATCH(D5,TeamsID!A:A,0))</f>
        <v>RECEBA FC</v>
      </c>
      <c r="K5" s="10">
        <f t="array" ref="K5">INDEX(GamesId!F:F,MATCH(E5,GamesId!A:A,0))</f>
        <v>45043</v>
      </c>
      <c r="L5" s="9" t="str">
        <f t="array" ref="L5">INDEX(GamesId!J:J,MATCH(E5,GamesId!A:A,0))</f>
        <v>Thurs Men's D Spring 23</v>
      </c>
    </row>
    <row r="6">
      <c r="A6" s="1">
        <f t="shared" si="1"/>
        <v>5</v>
      </c>
      <c r="B6" s="1" t="s">
        <v>46</v>
      </c>
      <c r="C6" s="1" t="s">
        <v>53</v>
      </c>
      <c r="D6" s="1">
        <v>2.0</v>
      </c>
      <c r="E6" s="1">
        <v>110.0</v>
      </c>
      <c r="F6" s="1">
        <v>2.0</v>
      </c>
      <c r="G6" s="1" t="str">
        <f t="array" ref="G6">if(ISNUMBER(F6),index(PlayerID!B:B,MATCH(F6,PlayerID!A:A,0)),"")</f>
        <v>Guilherme Souza</v>
      </c>
      <c r="I6" s="1" t="s">
        <v>54</v>
      </c>
      <c r="J6" s="9" t="str">
        <f t="array" ref="J6">INDEX(TeamsID!B:B,MATCH(D6,TeamsID!A:A,0))</f>
        <v>RECEBA FC</v>
      </c>
      <c r="K6" s="10">
        <f t="array" ref="K6">INDEX(GamesId!F:F,MATCH(E6,GamesId!A:A,0))</f>
        <v>45043</v>
      </c>
      <c r="L6" s="9" t="str">
        <f t="array" ref="L6">INDEX(GamesId!J:J,MATCH(E6,GamesId!A:A,0))</f>
        <v>Thurs Men's D Spring 23</v>
      </c>
    </row>
    <row r="7">
      <c r="A7" s="1">
        <f t="shared" si="1"/>
        <v>6</v>
      </c>
      <c r="B7" s="1" t="s">
        <v>46</v>
      </c>
      <c r="C7" s="1" t="s">
        <v>53</v>
      </c>
      <c r="D7" s="1">
        <v>2.0</v>
      </c>
      <c r="E7" s="1">
        <v>110.0</v>
      </c>
      <c r="F7" s="1">
        <v>7.0</v>
      </c>
      <c r="G7" s="1" t="str">
        <f t="array" ref="G7">if(ISNUMBER(F7),index(PlayerID!B:B,MATCH(F7,PlayerID!A:A,0)),"")</f>
        <v>Sergio Filho</v>
      </c>
      <c r="H7" s="1">
        <v>1.0</v>
      </c>
      <c r="I7" s="1" t="s">
        <v>55</v>
      </c>
      <c r="J7" s="9" t="str">
        <f t="array" ref="J7">INDEX(TeamsID!B:B,MATCH(D7,TeamsID!A:A,0))</f>
        <v>RECEBA FC</v>
      </c>
      <c r="K7" s="10">
        <f t="array" ref="K7">INDEX(GamesId!F:F,MATCH(E7,GamesId!A:A,0))</f>
        <v>45043</v>
      </c>
      <c r="L7" s="9" t="str">
        <f t="array" ref="L7">INDEX(GamesId!J:J,MATCH(E7,GamesId!A:A,0))</f>
        <v>Thurs Men's D Spring 23</v>
      </c>
    </row>
    <row r="8">
      <c r="A8" s="1">
        <f t="shared" si="1"/>
        <v>7</v>
      </c>
      <c r="B8" s="1" t="s">
        <v>46</v>
      </c>
      <c r="C8" s="1" t="s">
        <v>50</v>
      </c>
      <c r="D8" s="1">
        <v>2.0</v>
      </c>
      <c r="E8" s="1">
        <v>110.0</v>
      </c>
      <c r="F8" s="1">
        <v>7.0</v>
      </c>
      <c r="G8" s="1" t="str">
        <f t="array" ref="G8">if(ISNUMBER(F8),index(PlayerID!B:B,MATCH(F8,PlayerID!A:A,0)),"")</f>
        <v>Sergio Filho</v>
      </c>
      <c r="H8" s="1">
        <v>3.0</v>
      </c>
      <c r="I8" s="1" t="s">
        <v>56</v>
      </c>
      <c r="J8" s="9" t="str">
        <f t="array" ref="J8">INDEX(TeamsID!B:B,MATCH(D8,TeamsID!A:A,0))</f>
        <v>RECEBA FC</v>
      </c>
      <c r="K8" s="10">
        <f t="array" ref="K8">INDEX(GamesId!F:F,MATCH(E8,GamesId!A:A,0))</f>
        <v>45043</v>
      </c>
      <c r="L8" s="9" t="str">
        <f t="array" ref="L8">INDEX(GamesId!J:J,MATCH(E8,GamesId!A:A,0))</f>
        <v>Thurs Men's D Spring 23</v>
      </c>
    </row>
    <row r="9">
      <c r="A9" s="1">
        <f t="shared" si="1"/>
        <v>8</v>
      </c>
      <c r="B9" s="1" t="s">
        <v>46</v>
      </c>
      <c r="C9" s="1" t="s">
        <v>47</v>
      </c>
      <c r="D9" s="1">
        <v>2.0</v>
      </c>
      <c r="E9" s="1">
        <v>110.0</v>
      </c>
      <c r="F9" s="1">
        <v>4.0</v>
      </c>
      <c r="G9" s="1" t="str">
        <f t="array" ref="G9">if(ISNUMBER(F9),index(PlayerID!B:B,MATCH(F9,PlayerID!A:A,0)),"")</f>
        <v>Rafael Franco</v>
      </c>
      <c r="H9" s="1">
        <v>1.0</v>
      </c>
      <c r="I9" s="1" t="s">
        <v>57</v>
      </c>
      <c r="J9" s="9" t="str">
        <f t="array" ref="J9">INDEX(TeamsID!B:B,MATCH(D9,TeamsID!A:A,0))</f>
        <v>RECEBA FC</v>
      </c>
      <c r="K9" s="10">
        <f t="array" ref="K9">INDEX(GamesId!F:F,MATCH(E9,GamesId!A:A,0))</f>
        <v>45043</v>
      </c>
      <c r="L9" s="9" t="str">
        <f t="array" ref="L9">INDEX(GamesId!J:J,MATCH(E9,GamesId!A:A,0))</f>
        <v>Thurs Men's D Spring 23</v>
      </c>
    </row>
    <row r="10">
      <c r="A10" s="1">
        <f t="shared" si="1"/>
        <v>9</v>
      </c>
      <c r="B10" s="1" t="s">
        <v>46</v>
      </c>
      <c r="C10" s="1" t="s">
        <v>47</v>
      </c>
      <c r="D10" s="1">
        <v>2.0</v>
      </c>
      <c r="E10" s="1">
        <v>110.0</v>
      </c>
      <c r="F10" s="1">
        <v>6.0</v>
      </c>
      <c r="G10" s="1" t="str">
        <f t="array" ref="G10">if(ISNUMBER(F10),index(PlayerID!B:B,MATCH(F10,PlayerID!A:A,0)),"")</f>
        <v>Ranieri Filho</v>
      </c>
      <c r="H10" s="1">
        <v>1.0</v>
      </c>
      <c r="I10" s="1" t="s">
        <v>58</v>
      </c>
      <c r="J10" s="9" t="str">
        <f t="array" ref="J10">INDEX(TeamsID!B:B,MATCH(D10,TeamsID!A:A,0))</f>
        <v>RECEBA FC</v>
      </c>
      <c r="K10" s="10">
        <f t="array" ref="K10">INDEX(GamesId!F:F,MATCH(E10,GamesId!A:A,0))</f>
        <v>45043</v>
      </c>
      <c r="L10" s="9" t="str">
        <f t="array" ref="L10">INDEX(GamesId!J:J,MATCH(E10,GamesId!A:A,0))</f>
        <v>Thurs Men's D Spring 23</v>
      </c>
    </row>
    <row r="11">
      <c r="A11" s="1">
        <f t="shared" si="1"/>
        <v>10</v>
      </c>
      <c r="B11" s="1" t="s">
        <v>46</v>
      </c>
      <c r="C11" s="1" t="s">
        <v>59</v>
      </c>
      <c r="D11" s="1">
        <v>2.0</v>
      </c>
      <c r="E11" s="1">
        <v>110.0</v>
      </c>
      <c r="G11" s="1" t="str">
        <f t="array" ref="G11">if(ISNUMBER(F11),index(PlayerID!B:B,MATCH(F11,PlayerID!A:A,0)),"")</f>
        <v/>
      </c>
      <c r="I11" s="1" t="s">
        <v>60</v>
      </c>
      <c r="J11" s="9" t="str">
        <f t="array" ref="J11">INDEX(TeamsID!B:B,MATCH(D11,TeamsID!A:A,0))</f>
        <v>RECEBA FC</v>
      </c>
      <c r="K11" s="10">
        <f t="array" ref="K11">INDEX(GamesId!F:F,MATCH(E11,GamesId!A:A,0))</f>
        <v>45043</v>
      </c>
      <c r="L11" s="9" t="str">
        <f t="array" ref="L11">INDEX(GamesId!J:J,MATCH(E11,GamesId!A:A,0))</f>
        <v>Thurs Men's D Spring 23</v>
      </c>
    </row>
    <row r="12">
      <c r="A12" s="1">
        <f t="shared" si="1"/>
        <v>11</v>
      </c>
      <c r="B12" s="1" t="s">
        <v>61</v>
      </c>
      <c r="C12" s="1" t="s">
        <v>62</v>
      </c>
      <c r="D12" s="1">
        <v>5.0</v>
      </c>
      <c r="E12" s="1">
        <v>87.0</v>
      </c>
      <c r="G12" s="1" t="str">
        <f t="array" ref="G12">if(ISNUMBER(F12),index(PlayerID!B:B,MATCH(F12,PlayerID!A:A,0)),"")</f>
        <v/>
      </c>
      <c r="I12" s="1" t="s">
        <v>63</v>
      </c>
      <c r="J12" s="9" t="str">
        <f t="array" ref="J12">INDEX(TeamsID!B:B,MATCH(D12,TeamsID!A:A,0))</f>
        <v>Blackfoot Ballers</v>
      </c>
      <c r="K12" s="10">
        <f t="array" ref="K12">INDEX(GamesId!F:F,MATCH(E12,GamesId!A:A,0))</f>
        <v>45041</v>
      </c>
      <c r="L12" s="9" t="str">
        <f t="array" ref="L12">INDEX(GamesId!J:J,MATCH(E12,GamesId!A:A,0))</f>
        <v>Tues Men's D Spring 23</v>
      </c>
    </row>
    <row r="13">
      <c r="A13" s="1">
        <f t="shared" si="1"/>
        <v>12</v>
      </c>
      <c r="B13" s="1" t="s">
        <v>46</v>
      </c>
      <c r="C13" s="1" t="s">
        <v>64</v>
      </c>
      <c r="D13" s="1">
        <v>1.0</v>
      </c>
      <c r="E13" s="9">
        <f>GamesId!A88</f>
        <v>86</v>
      </c>
      <c r="F13" s="1">
        <v>9.0</v>
      </c>
      <c r="G13" s="1" t="str">
        <f t="array" ref="G13">if(ISNUMBER(F13),index(PlayerID!B:B,MATCH(F13,PlayerID!A:A,0)),"")</f>
        <v>Guilherme Kuster</v>
      </c>
      <c r="H13" s="1">
        <v>1.0</v>
      </c>
      <c r="I13" s="1" t="s">
        <v>65</v>
      </c>
      <c r="J13" s="9" t="str">
        <f t="array" ref="J13">INDEX(TeamsID!B:B,MATCH(D13,TeamsID!A:A,0))</f>
        <v>Brazukas</v>
      </c>
      <c r="K13" s="10">
        <f t="array" ref="K13">INDEX(GamesId!F:F,MATCH(E13,GamesId!A:A,0))</f>
        <v>45034</v>
      </c>
      <c r="L13" s="9" t="str">
        <f t="array" ref="L13">INDEX(GamesId!J:J,MATCH(E13,GamesId!A:A,0))</f>
        <v>Tues Men's D Spring 23</v>
      </c>
    </row>
    <row r="14">
      <c r="A14" s="1">
        <f t="shared" si="1"/>
        <v>13</v>
      </c>
      <c r="B14" s="1" t="s">
        <v>46</v>
      </c>
      <c r="C14" s="1" t="s">
        <v>47</v>
      </c>
      <c r="D14" s="1">
        <v>1.0</v>
      </c>
      <c r="E14" s="1">
        <v>88.0</v>
      </c>
      <c r="F14" s="1">
        <v>10.0</v>
      </c>
      <c r="G14" s="1" t="str">
        <f t="array" ref="G14">if(ISNUMBER(F14),index(PlayerID!B:B,MATCH(F14,PlayerID!A:A,0)),"")</f>
        <v>Arthur Mendes</v>
      </c>
      <c r="H14" s="1">
        <v>1.0</v>
      </c>
      <c r="I14" s="1" t="s">
        <v>66</v>
      </c>
      <c r="J14" s="9" t="str">
        <f t="array" ref="J14">INDEX(TeamsID!B:B,MATCH(D14,TeamsID!A:A,0))</f>
        <v>Brazukas</v>
      </c>
      <c r="K14" s="10">
        <f t="array" ref="K14">INDEX(GamesId!F:F,MATCH(E14,GamesId!A:A,0))</f>
        <v>45048</v>
      </c>
      <c r="L14" s="9" t="str">
        <f t="array" ref="L14">INDEX(GamesId!J:J,MATCH(E14,GamesId!A:A,0))</f>
        <v>Tues Men's D Spring 23</v>
      </c>
    </row>
    <row r="15">
      <c r="A15" s="1">
        <f t="shared" si="1"/>
        <v>14</v>
      </c>
      <c r="B15" s="11" t="s">
        <v>46</v>
      </c>
      <c r="C15" s="11" t="s">
        <v>47</v>
      </c>
      <c r="D15" s="12">
        <v>1.0</v>
      </c>
      <c r="E15" s="1">
        <v>88.0</v>
      </c>
      <c r="F15" s="13">
        <v>9.0</v>
      </c>
      <c r="G15" s="1" t="str">
        <f t="array" ref="G15">if(ISNUMBER(F15),index(PlayerID!B:B,MATCH(F15,PlayerID!A:A,0)),"")</f>
        <v>Guilherme Kuster</v>
      </c>
      <c r="H15" s="12">
        <v>1.0</v>
      </c>
      <c r="I15" s="14" t="s">
        <v>67</v>
      </c>
      <c r="J15" s="9" t="str">
        <f t="array" ref="J15">INDEX(TeamsID!B:B,MATCH(D15,TeamsID!A:A,0))</f>
        <v>Brazukas</v>
      </c>
      <c r="K15" s="10">
        <f t="array" ref="K15">INDEX(GamesId!F:F,MATCH(E15,GamesId!A:A,0))</f>
        <v>45048</v>
      </c>
      <c r="L15" s="9" t="str">
        <f t="array" ref="L15">INDEX(GamesId!J:J,MATCH(E15,GamesId!A:A,0))</f>
        <v>Tues Men's D Spring 23</v>
      </c>
    </row>
    <row r="16">
      <c r="A16" s="1">
        <f t="shared" si="1"/>
        <v>15</v>
      </c>
      <c r="B16" s="11" t="s">
        <v>46</v>
      </c>
      <c r="C16" s="11" t="s">
        <v>47</v>
      </c>
      <c r="D16" s="12">
        <v>1.0</v>
      </c>
      <c r="E16" s="1">
        <v>88.0</v>
      </c>
      <c r="F16" s="13">
        <v>8.0</v>
      </c>
      <c r="G16" s="1" t="str">
        <f t="array" ref="G16">if(ISNUMBER(F16),index(PlayerID!B:B,MATCH(F16,PlayerID!A:A,0)),"")</f>
        <v>Cleiton Góes</v>
      </c>
      <c r="H16" s="12">
        <v>1.0</v>
      </c>
      <c r="I16" s="14" t="s">
        <v>68</v>
      </c>
      <c r="J16" s="9" t="str">
        <f t="array" ref="J16">INDEX(TeamsID!B:B,MATCH(D16,TeamsID!A:A,0))</f>
        <v>Brazukas</v>
      </c>
      <c r="K16" s="10">
        <f t="array" ref="K16">INDEX(GamesId!F:F,MATCH(E16,GamesId!A:A,0))</f>
        <v>45048</v>
      </c>
      <c r="L16" s="9" t="str">
        <f t="array" ref="L16">INDEX(GamesId!J:J,MATCH(E16,GamesId!A:A,0))</f>
        <v>Tues Men's D Spring 23</v>
      </c>
    </row>
    <row r="17">
      <c r="A17" s="1">
        <f t="shared" si="1"/>
        <v>16</v>
      </c>
      <c r="B17" s="11" t="s">
        <v>46</v>
      </c>
      <c r="C17" s="11" t="s">
        <v>47</v>
      </c>
      <c r="D17" s="12">
        <v>1.0</v>
      </c>
      <c r="E17" s="1">
        <v>88.0</v>
      </c>
      <c r="F17" s="13">
        <v>9.0</v>
      </c>
      <c r="G17" s="1" t="str">
        <f t="array" ref="G17">if(ISNUMBER(F17),index(PlayerID!B:B,MATCH(F17,PlayerID!A:A,0)),"")</f>
        <v>Guilherme Kuster</v>
      </c>
      <c r="H17" s="12">
        <v>1.0</v>
      </c>
      <c r="I17" s="14" t="s">
        <v>69</v>
      </c>
      <c r="J17" s="9" t="str">
        <f t="array" ref="J17">INDEX(TeamsID!B:B,MATCH(D17,TeamsID!A:A,0))</f>
        <v>Brazukas</v>
      </c>
      <c r="K17" s="10">
        <f t="array" ref="K17">INDEX(GamesId!F:F,MATCH(E17,GamesId!A:A,0))</f>
        <v>45048</v>
      </c>
      <c r="L17" s="9" t="str">
        <f t="array" ref="L17">INDEX(GamesId!J:J,MATCH(E17,GamesId!A:A,0))</f>
        <v>Tues Men's D Spring 23</v>
      </c>
    </row>
    <row r="18">
      <c r="A18" s="1">
        <f t="shared" si="1"/>
        <v>17</v>
      </c>
      <c r="B18" s="11" t="s">
        <v>46</v>
      </c>
      <c r="C18" s="11" t="s">
        <v>47</v>
      </c>
      <c r="D18" s="12">
        <v>1.0</v>
      </c>
      <c r="E18" s="1">
        <v>88.0</v>
      </c>
      <c r="F18" s="13">
        <v>7.0</v>
      </c>
      <c r="G18" s="1" t="str">
        <f t="array" ref="G18">if(ISNUMBER(F18),index(PlayerID!B:B,MATCH(F18,PlayerID!A:A,0)),"")</f>
        <v>Sergio Filho</v>
      </c>
      <c r="H18" s="12">
        <v>1.0</v>
      </c>
      <c r="I18" s="14" t="s">
        <v>70</v>
      </c>
      <c r="J18" s="9" t="str">
        <f t="array" ref="J18">INDEX(TeamsID!B:B,MATCH(D18,TeamsID!A:A,0))</f>
        <v>Brazukas</v>
      </c>
      <c r="K18" s="10">
        <f t="array" ref="K18">INDEX(GamesId!F:F,MATCH(E18,GamesId!A:A,0))</f>
        <v>45048</v>
      </c>
      <c r="L18" s="9" t="str">
        <f t="array" ref="L18">INDEX(GamesId!J:J,MATCH(E18,GamesId!A:A,0))</f>
        <v>Tues Men's D Spring 23</v>
      </c>
    </row>
    <row r="19">
      <c r="A19" s="1">
        <f t="shared" si="1"/>
        <v>18</v>
      </c>
      <c r="B19" s="11" t="s">
        <v>46</v>
      </c>
      <c r="C19" s="11" t="s">
        <v>47</v>
      </c>
      <c r="D19" s="12">
        <v>1.0</v>
      </c>
      <c r="E19" s="1">
        <v>88.0</v>
      </c>
      <c r="F19" s="13">
        <v>7.0</v>
      </c>
      <c r="G19" s="1" t="str">
        <f t="array" ref="G19">if(ISNUMBER(F19),index(PlayerID!B:B,MATCH(F19,PlayerID!A:A,0)),"")</f>
        <v>Sergio Filho</v>
      </c>
      <c r="H19" s="12">
        <v>1.0</v>
      </c>
      <c r="I19" s="14" t="s">
        <v>71</v>
      </c>
      <c r="J19" s="9" t="str">
        <f t="array" ref="J19">INDEX(TeamsID!B:B,MATCH(D19,TeamsID!A:A,0))</f>
        <v>Brazukas</v>
      </c>
      <c r="K19" s="10">
        <f t="array" ref="K19">INDEX(GamesId!F:F,MATCH(E19,GamesId!A:A,0))</f>
        <v>45048</v>
      </c>
      <c r="L19" s="9" t="str">
        <f t="array" ref="L19">INDEX(GamesId!J:J,MATCH(E19,GamesId!A:A,0))</f>
        <v>Tues Men's D Spring 23</v>
      </c>
    </row>
    <row r="20">
      <c r="A20" s="1">
        <f t="shared" si="1"/>
        <v>19</v>
      </c>
      <c r="B20" s="1" t="s">
        <v>46</v>
      </c>
      <c r="C20" s="1" t="s">
        <v>50</v>
      </c>
      <c r="D20" s="12">
        <v>1.0</v>
      </c>
      <c r="E20" s="1">
        <v>88.0</v>
      </c>
      <c r="F20" s="1">
        <v>18.0</v>
      </c>
      <c r="G20" s="1" t="str">
        <f t="array" ref="G20">if(ISNUMBER(F20),index(PlayerID!B:B,MATCH(F20,PlayerID!A:A,0)),"")</f>
        <v>Rafael Mattos</v>
      </c>
      <c r="H20" s="1">
        <v>1.0</v>
      </c>
      <c r="I20" s="1" t="s">
        <v>66</v>
      </c>
      <c r="J20" s="9" t="str">
        <f t="array" ref="J20">INDEX(TeamsID!B:B,MATCH(D20,TeamsID!A:A,0))</f>
        <v>Brazukas</v>
      </c>
      <c r="K20" s="10">
        <f t="array" ref="K20">INDEX(GamesId!F:F,MATCH(E20,GamesId!A:A,0))</f>
        <v>45048</v>
      </c>
      <c r="L20" s="9" t="str">
        <f t="array" ref="L20">INDEX(GamesId!J:J,MATCH(E20,GamesId!A:A,0))</f>
        <v>Tues Men's D Spring 23</v>
      </c>
    </row>
    <row r="21">
      <c r="A21" s="1">
        <f t="shared" si="1"/>
        <v>20</v>
      </c>
      <c r="B21" s="1" t="s">
        <v>46</v>
      </c>
      <c r="C21" s="1" t="s">
        <v>50</v>
      </c>
      <c r="D21" s="12">
        <v>1.0</v>
      </c>
      <c r="E21" s="1">
        <v>88.0</v>
      </c>
      <c r="F21" s="1">
        <v>6.0</v>
      </c>
      <c r="G21" s="1" t="str">
        <f t="array" ref="G21">if(ISNUMBER(F21),index(PlayerID!B:B,MATCH(F21,PlayerID!A:A,0)),"")</f>
        <v>Ranieri Filho</v>
      </c>
      <c r="H21" s="1">
        <v>1.0</v>
      </c>
      <c r="I21" s="14" t="s">
        <v>70</v>
      </c>
      <c r="J21" s="9" t="str">
        <f t="array" ref="J21">INDEX(TeamsID!B:B,MATCH(D21,TeamsID!A:A,0))</f>
        <v>Brazukas</v>
      </c>
      <c r="K21" s="10">
        <f t="array" ref="K21">INDEX(GamesId!F:F,MATCH(E21,GamesId!A:A,0))</f>
        <v>45048</v>
      </c>
      <c r="L21" s="9" t="str">
        <f t="array" ref="L21">INDEX(GamesId!J:J,MATCH(E21,GamesId!A:A,0))</f>
        <v>Tues Men's D Spring 23</v>
      </c>
    </row>
    <row r="22">
      <c r="A22" s="1">
        <f t="shared" si="1"/>
        <v>21</v>
      </c>
      <c r="B22" s="1" t="s">
        <v>46</v>
      </c>
      <c r="C22" s="1" t="s">
        <v>50</v>
      </c>
      <c r="D22" s="12">
        <v>1.0</v>
      </c>
      <c r="E22" s="1">
        <v>88.0</v>
      </c>
      <c r="F22" s="1">
        <v>18.0</v>
      </c>
      <c r="G22" s="1" t="str">
        <f t="array" ref="G22">if(ISNUMBER(F22),index(PlayerID!B:B,MATCH(F22,PlayerID!A:A,0)),"")</f>
        <v>Rafael Mattos</v>
      </c>
      <c r="H22" s="1">
        <v>1.0</v>
      </c>
      <c r="I22" s="14" t="s">
        <v>71</v>
      </c>
      <c r="J22" s="9" t="str">
        <f t="array" ref="J22">INDEX(TeamsID!B:B,MATCH(D22,TeamsID!A:A,0))</f>
        <v>Brazukas</v>
      </c>
      <c r="K22" s="10">
        <f t="array" ref="K22">INDEX(GamesId!F:F,MATCH(E22,GamesId!A:A,0))</f>
        <v>45048</v>
      </c>
      <c r="L22" s="9" t="str">
        <f t="array" ref="L22">INDEX(GamesId!J:J,MATCH(E22,GamesId!A:A,0))</f>
        <v>Tues Men's D Spring 23</v>
      </c>
    </row>
    <row r="23">
      <c r="A23" s="1">
        <f t="shared" si="1"/>
        <v>22</v>
      </c>
      <c r="B23" s="1" t="s">
        <v>46</v>
      </c>
      <c r="C23" s="1" t="s">
        <v>50</v>
      </c>
      <c r="D23" s="12">
        <v>1.0</v>
      </c>
      <c r="E23" s="1">
        <v>88.0</v>
      </c>
      <c r="F23" s="1">
        <v>13.0</v>
      </c>
      <c r="G23" s="1" t="str">
        <f t="array" ref="G23">if(ISNUMBER(F23),index(PlayerID!B:B,MATCH(F23,PlayerID!A:A,0)),"")</f>
        <v>Caio Scofield</v>
      </c>
      <c r="H23" s="1">
        <v>1.0</v>
      </c>
      <c r="I23" s="14" t="s">
        <v>69</v>
      </c>
      <c r="J23" s="9" t="str">
        <f t="array" ref="J23">INDEX(TeamsID!B:B,MATCH(D23,TeamsID!A:A,0))</f>
        <v>Brazukas</v>
      </c>
      <c r="K23" s="10">
        <f t="array" ref="K23">INDEX(GamesId!F:F,MATCH(E23,GamesId!A:A,0))</f>
        <v>45048</v>
      </c>
      <c r="L23" s="9" t="str">
        <f t="array" ref="L23">INDEX(GamesId!J:J,MATCH(E23,GamesId!A:A,0))</f>
        <v>Tues Men's D Spring 23</v>
      </c>
    </row>
    <row r="24">
      <c r="A24" s="1">
        <f t="shared" si="1"/>
        <v>23</v>
      </c>
      <c r="B24" s="1" t="s">
        <v>61</v>
      </c>
      <c r="C24" s="1" t="s">
        <v>62</v>
      </c>
      <c r="D24" s="1">
        <v>5.0</v>
      </c>
      <c r="E24" s="1">
        <v>88.0</v>
      </c>
      <c r="G24" s="1" t="str">
        <f t="array" ref="G24">if(ISNUMBER(F24),index(PlayerID!B:B,MATCH(F24,PlayerID!A:A,0)),"")</f>
        <v/>
      </c>
      <c r="I24" s="1" t="s">
        <v>72</v>
      </c>
      <c r="J24" s="9" t="str">
        <f t="array" ref="J24">INDEX(TeamsID!B:B,MATCH(D24,TeamsID!A:A,0))</f>
        <v>Blackfoot Ballers</v>
      </c>
      <c r="K24" s="10">
        <f t="array" ref="K24">INDEX(GamesId!F:F,MATCH(E24,GamesId!A:A,0))</f>
        <v>45048</v>
      </c>
      <c r="L24" s="9" t="str">
        <f t="array" ref="L24">INDEX(GamesId!J:J,MATCH(E24,GamesId!A:A,0))</f>
        <v>Tues Men's D Spring 23</v>
      </c>
    </row>
    <row r="25">
      <c r="A25" s="1">
        <f t="shared" si="1"/>
        <v>24</v>
      </c>
      <c r="B25" s="1" t="s">
        <v>46</v>
      </c>
      <c r="C25" s="1" t="s">
        <v>59</v>
      </c>
      <c r="D25" s="1">
        <v>1.0</v>
      </c>
      <c r="E25" s="1">
        <v>88.0</v>
      </c>
      <c r="G25" s="1" t="str">
        <f t="array" ref="G25">if(ISNUMBER(F25),index(PlayerID!B:B,MATCH(F25,PlayerID!A:A,0)),"")</f>
        <v/>
      </c>
      <c r="I25" s="1" t="s">
        <v>73</v>
      </c>
      <c r="J25" s="9" t="str">
        <f t="array" ref="J25">INDEX(TeamsID!B:B,MATCH(D25,TeamsID!A:A,0))</f>
        <v>Brazukas</v>
      </c>
      <c r="K25" s="10">
        <f t="array" ref="K25">INDEX(GamesId!F:F,MATCH(E25,GamesId!A:A,0))</f>
        <v>45048</v>
      </c>
      <c r="L25" s="9" t="str">
        <f t="array" ref="L25">INDEX(GamesId!J:J,MATCH(E25,GamesId!A:A,0))</f>
        <v>Tues Men's D Spring 23</v>
      </c>
    </row>
    <row r="26">
      <c r="A26" s="1">
        <f t="shared" si="1"/>
        <v>25</v>
      </c>
      <c r="B26" s="1" t="s">
        <v>46</v>
      </c>
      <c r="C26" s="1" t="s">
        <v>47</v>
      </c>
      <c r="D26" s="1">
        <v>2.0</v>
      </c>
      <c r="E26" s="1">
        <v>111.0</v>
      </c>
      <c r="F26" s="1">
        <v>9.0</v>
      </c>
      <c r="G26" s="1" t="str">
        <f t="array" ref="G26">if(ISNUMBER(F26),index(PlayerID!B:B,MATCH(F26,PlayerID!A:A,0)),"")</f>
        <v>Guilherme Kuster</v>
      </c>
      <c r="H26" s="1">
        <v>1.0</v>
      </c>
      <c r="I26" s="1" t="s">
        <v>74</v>
      </c>
      <c r="J26" s="9" t="str">
        <f t="array" ref="J26">INDEX(TeamsID!B:B,MATCH(D26,TeamsID!A:A,0))</f>
        <v>RECEBA FC</v>
      </c>
      <c r="K26" s="10">
        <f t="array" ref="K26">INDEX(GamesId!F:F,MATCH(E26,GamesId!A:A,0))</f>
        <v>45050</v>
      </c>
      <c r="L26" s="9" t="str">
        <f t="array" ref="L26">INDEX(GamesId!J:J,MATCH(E26,GamesId!A:A,0))</f>
        <v>Thurs Men's D Spring 23</v>
      </c>
    </row>
    <row r="27">
      <c r="A27" s="1">
        <f t="shared" si="1"/>
        <v>26</v>
      </c>
      <c r="B27" s="1" t="s">
        <v>46</v>
      </c>
      <c r="C27" s="1" t="s">
        <v>47</v>
      </c>
      <c r="D27" s="1">
        <v>2.0</v>
      </c>
      <c r="E27" s="1">
        <v>111.0</v>
      </c>
      <c r="F27" s="1">
        <v>14.0</v>
      </c>
      <c r="G27" s="1" t="str">
        <f t="array" ref="G27">if(ISNUMBER(F27),index(PlayerID!B:B,MATCH(F27,PlayerID!A:A,0)),"")</f>
        <v>Marcelo Mazzafera</v>
      </c>
      <c r="H27" s="1">
        <v>1.0</v>
      </c>
      <c r="I27" s="1" t="s">
        <v>75</v>
      </c>
      <c r="J27" s="9" t="str">
        <f t="array" ref="J27">INDEX(TeamsID!B:B,MATCH(D27,TeamsID!A:A,0))</f>
        <v>RECEBA FC</v>
      </c>
      <c r="K27" s="10">
        <f t="array" ref="K27">INDEX(GamesId!F:F,MATCH(E27,GamesId!A:A,0))</f>
        <v>45050</v>
      </c>
      <c r="L27" s="9" t="str">
        <f t="array" ref="L27">INDEX(GamesId!J:J,MATCH(E27,GamesId!A:A,0))</f>
        <v>Thurs Men's D Spring 23</v>
      </c>
    </row>
    <row r="28">
      <c r="A28" s="1">
        <f t="shared" si="1"/>
        <v>27</v>
      </c>
      <c r="B28" s="1" t="s">
        <v>46</v>
      </c>
      <c r="C28" s="1" t="s">
        <v>47</v>
      </c>
      <c r="D28" s="1">
        <v>2.0</v>
      </c>
      <c r="E28" s="1">
        <v>111.0</v>
      </c>
      <c r="F28" s="1">
        <v>4.0</v>
      </c>
      <c r="G28" s="1" t="str">
        <f t="array" ref="G28">if(ISNUMBER(F28),index(PlayerID!B:B,MATCH(F28,PlayerID!A:A,0)),"")</f>
        <v>Rafael Franco</v>
      </c>
      <c r="H28" s="1">
        <v>1.0</v>
      </c>
      <c r="I28" s="1" t="s">
        <v>76</v>
      </c>
      <c r="J28" s="9" t="str">
        <f t="array" ref="J28">INDEX(TeamsID!B:B,MATCH(D28,TeamsID!A:A,0))</f>
        <v>RECEBA FC</v>
      </c>
      <c r="K28" s="10">
        <f t="array" ref="K28">INDEX(GamesId!F:F,MATCH(E28,GamesId!A:A,0))</f>
        <v>45050</v>
      </c>
      <c r="L28" s="9" t="str">
        <f t="array" ref="L28">INDEX(GamesId!J:J,MATCH(E28,GamesId!A:A,0))</f>
        <v>Thurs Men's D Spring 23</v>
      </c>
    </row>
    <row r="29">
      <c r="A29" s="1">
        <f t="shared" si="1"/>
        <v>28</v>
      </c>
      <c r="B29" s="1" t="s">
        <v>46</v>
      </c>
      <c r="C29" s="1" t="s">
        <v>47</v>
      </c>
      <c r="D29" s="1">
        <v>2.0</v>
      </c>
      <c r="E29" s="1">
        <v>111.0</v>
      </c>
      <c r="F29" s="1">
        <v>9.0</v>
      </c>
      <c r="G29" s="1" t="str">
        <f t="array" ref="G29">if(ISNUMBER(F29),index(PlayerID!B:B,MATCH(F29,PlayerID!A:A,0)),"")</f>
        <v>Guilherme Kuster</v>
      </c>
      <c r="H29" s="1">
        <v>1.0</v>
      </c>
      <c r="I29" s="1" t="s">
        <v>77</v>
      </c>
      <c r="J29" s="9" t="str">
        <f t="array" ref="J29">INDEX(TeamsID!B:B,MATCH(D29,TeamsID!A:A,0))</f>
        <v>RECEBA FC</v>
      </c>
      <c r="K29" s="10">
        <f t="array" ref="K29">INDEX(GamesId!F:F,MATCH(E29,GamesId!A:A,0))</f>
        <v>45050</v>
      </c>
      <c r="L29" s="9" t="str">
        <f t="array" ref="L29">INDEX(GamesId!J:J,MATCH(E29,GamesId!A:A,0))</f>
        <v>Thurs Men's D Spring 23</v>
      </c>
    </row>
    <row r="30">
      <c r="A30" s="1">
        <f t="shared" si="1"/>
        <v>29</v>
      </c>
      <c r="B30" s="1" t="s">
        <v>46</v>
      </c>
      <c r="C30" s="1" t="s">
        <v>47</v>
      </c>
      <c r="D30" s="1">
        <v>2.0</v>
      </c>
      <c r="E30" s="1">
        <v>111.0</v>
      </c>
      <c r="F30" s="1">
        <v>4.0</v>
      </c>
      <c r="G30" s="1" t="str">
        <f t="array" ref="G30">if(ISNUMBER(F30),index(PlayerID!B:B,MATCH(F30,PlayerID!A:A,0)),"")</f>
        <v>Rafael Franco</v>
      </c>
      <c r="H30" s="1">
        <v>1.0</v>
      </c>
      <c r="I30" s="1" t="s">
        <v>78</v>
      </c>
      <c r="J30" s="9" t="str">
        <f t="array" ref="J30">INDEX(TeamsID!B:B,MATCH(D30,TeamsID!A:A,0))</f>
        <v>RECEBA FC</v>
      </c>
      <c r="K30" s="10">
        <f t="array" ref="K30">INDEX(GamesId!F:F,MATCH(E30,GamesId!A:A,0))</f>
        <v>45050</v>
      </c>
      <c r="L30" s="9" t="str">
        <f t="array" ref="L30">INDEX(GamesId!J:J,MATCH(E30,GamesId!A:A,0))</f>
        <v>Thurs Men's D Spring 23</v>
      </c>
    </row>
    <row r="31">
      <c r="A31" s="1">
        <f t="shared" si="1"/>
        <v>30</v>
      </c>
      <c r="B31" s="1" t="s">
        <v>46</v>
      </c>
      <c r="C31" s="1" t="s">
        <v>47</v>
      </c>
      <c r="D31" s="1">
        <v>2.0</v>
      </c>
      <c r="E31" s="1">
        <v>111.0</v>
      </c>
      <c r="F31" s="1">
        <v>10.0</v>
      </c>
      <c r="G31" s="1" t="str">
        <f t="array" ref="G31">if(ISNUMBER(F31),index(PlayerID!B:B,MATCH(F31,PlayerID!A:A,0)),"")</f>
        <v>Arthur Mendes</v>
      </c>
      <c r="H31" s="1">
        <v>1.0</v>
      </c>
      <c r="I31" s="1" t="s">
        <v>79</v>
      </c>
      <c r="J31" s="9" t="str">
        <f t="array" ref="J31">INDEX(TeamsID!B:B,MATCH(D31,TeamsID!A:A,0))</f>
        <v>RECEBA FC</v>
      </c>
      <c r="K31" s="10">
        <f t="array" ref="K31">INDEX(GamesId!F:F,MATCH(E31,GamesId!A:A,0))</f>
        <v>45050</v>
      </c>
      <c r="L31" s="9" t="str">
        <f t="array" ref="L31">INDEX(GamesId!J:J,MATCH(E31,GamesId!A:A,0))</f>
        <v>Thurs Men's D Spring 23</v>
      </c>
    </row>
    <row r="32">
      <c r="A32" s="1">
        <f t="shared" si="1"/>
        <v>31</v>
      </c>
      <c r="B32" s="1" t="s">
        <v>46</v>
      </c>
      <c r="C32" s="1" t="s">
        <v>50</v>
      </c>
      <c r="D32" s="1">
        <v>2.0</v>
      </c>
      <c r="E32" s="1">
        <v>111.0</v>
      </c>
      <c r="F32" s="1">
        <v>10.0</v>
      </c>
      <c r="G32" s="1" t="str">
        <f t="array" ref="G32">if(ISNUMBER(F32),index(PlayerID!B:B,MATCH(F32,PlayerID!A:A,0)),"")</f>
        <v>Arthur Mendes</v>
      </c>
      <c r="H32" s="1">
        <v>1.0</v>
      </c>
      <c r="I32" s="1" t="s">
        <v>74</v>
      </c>
      <c r="J32" s="9" t="str">
        <f t="array" ref="J32">INDEX(TeamsID!B:B,MATCH(D32,TeamsID!A:A,0))</f>
        <v>RECEBA FC</v>
      </c>
      <c r="K32" s="10">
        <f t="array" ref="K32">INDEX(GamesId!F:F,MATCH(E32,GamesId!A:A,0))</f>
        <v>45050</v>
      </c>
      <c r="L32" s="9" t="str">
        <f t="array" ref="L32">INDEX(GamesId!J:J,MATCH(E32,GamesId!A:A,0))</f>
        <v>Thurs Men's D Spring 23</v>
      </c>
    </row>
    <row r="33">
      <c r="A33" s="1">
        <f t="shared" si="1"/>
        <v>32</v>
      </c>
      <c r="B33" s="1" t="s">
        <v>46</v>
      </c>
      <c r="C33" s="1" t="s">
        <v>50</v>
      </c>
      <c r="D33" s="1">
        <v>2.0</v>
      </c>
      <c r="E33" s="1">
        <v>111.0</v>
      </c>
      <c r="F33" s="1">
        <v>8.0</v>
      </c>
      <c r="G33" s="1" t="str">
        <f t="array" ref="G33">if(ISNUMBER(F33),index(PlayerID!B:B,MATCH(F33,PlayerID!A:A,0)),"")</f>
        <v>Cleiton Góes</v>
      </c>
      <c r="H33" s="1">
        <v>1.0</v>
      </c>
      <c r="I33" s="1" t="s">
        <v>76</v>
      </c>
      <c r="J33" s="9" t="str">
        <f t="array" ref="J33">INDEX(TeamsID!B:B,MATCH(D33,TeamsID!A:A,0))</f>
        <v>RECEBA FC</v>
      </c>
      <c r="K33" s="10">
        <f t="array" ref="K33">INDEX(GamesId!F:F,MATCH(E33,GamesId!A:A,0))</f>
        <v>45050</v>
      </c>
      <c r="L33" s="9" t="str">
        <f t="array" ref="L33">INDEX(GamesId!J:J,MATCH(E33,GamesId!A:A,0))</f>
        <v>Thurs Men's D Spring 23</v>
      </c>
    </row>
    <row r="34">
      <c r="A34" s="1">
        <f t="shared" si="1"/>
        <v>33</v>
      </c>
      <c r="B34" s="1" t="s">
        <v>46</v>
      </c>
      <c r="C34" s="1" t="s">
        <v>50</v>
      </c>
      <c r="D34" s="1">
        <v>2.0</v>
      </c>
      <c r="E34" s="1">
        <v>111.0</v>
      </c>
      <c r="F34" s="1">
        <v>3.0</v>
      </c>
      <c r="G34" s="1" t="str">
        <f t="array" ref="G34">if(ISNUMBER(F34),index(PlayerID!B:B,MATCH(F34,PlayerID!A:A,0)),"")</f>
        <v>Joao Pinto</v>
      </c>
      <c r="H34" s="1">
        <v>1.0</v>
      </c>
      <c r="I34" s="9" t="str">
        <f>I31</f>
        <v>Gol 6- Arthur recebe Passe de penis domina na velocidade pra cima do zagueiro e bate no meio das perna do goleiro</v>
      </c>
      <c r="J34" s="9" t="str">
        <f t="array" ref="J34">INDEX(TeamsID!B:B,MATCH(D34,TeamsID!A:A,0))</f>
        <v>RECEBA FC</v>
      </c>
      <c r="K34" s="10">
        <f t="array" ref="K34">INDEX(GamesId!F:F,MATCH(E34,GamesId!A:A,0))</f>
        <v>45050</v>
      </c>
      <c r="L34" s="9" t="str">
        <f t="array" ref="L34">INDEX(GamesId!J:J,MATCH(E34,GamesId!A:A,0))</f>
        <v>Thurs Men's D Spring 23</v>
      </c>
    </row>
    <row r="35">
      <c r="A35" s="1">
        <f t="shared" si="1"/>
        <v>34</v>
      </c>
      <c r="B35" s="1" t="s">
        <v>46</v>
      </c>
      <c r="C35" s="1" t="s">
        <v>80</v>
      </c>
      <c r="D35" s="1">
        <v>1.0</v>
      </c>
      <c r="E35" s="1">
        <v>111.0</v>
      </c>
      <c r="F35" s="1">
        <v>14.0</v>
      </c>
      <c r="G35" s="1" t="str">
        <f t="array" ref="G35">if(ISNUMBER(F35),index(PlayerID!B:B,MATCH(F35,PlayerID!A:A,0)),"")</f>
        <v>Marcelo Mazzafera</v>
      </c>
      <c r="H35" s="1">
        <v>2.0</v>
      </c>
      <c r="I35" s="1" t="s">
        <v>81</v>
      </c>
      <c r="J35" s="9" t="str">
        <f t="array" ref="J35">INDEX(TeamsID!B:B,MATCH(D35,TeamsID!A:A,0))</f>
        <v>Brazukas</v>
      </c>
      <c r="K35" s="10">
        <f t="array" ref="K35">INDEX(GamesId!F:F,MATCH(E35,GamesId!A:A,0))</f>
        <v>45050</v>
      </c>
      <c r="L35" s="9" t="str">
        <f t="array" ref="L35">INDEX(GamesId!J:J,MATCH(E35,GamesId!A:A,0))</f>
        <v>Thurs Men's D Spring 23</v>
      </c>
    </row>
    <row r="36">
      <c r="A36" s="1">
        <f t="shared" si="1"/>
        <v>35</v>
      </c>
      <c r="B36" s="1" t="s">
        <v>46</v>
      </c>
      <c r="C36" s="1" t="s">
        <v>47</v>
      </c>
      <c r="D36" s="1">
        <v>1.0</v>
      </c>
      <c r="E36" s="1">
        <v>89.0</v>
      </c>
      <c r="F36" s="1">
        <v>5.0</v>
      </c>
      <c r="G36" s="1" t="str">
        <f t="array" ref="G36">if(ISNUMBER(F36),index(PlayerID!B:B,MATCH(F36,PlayerID!A:A,0)),"")</f>
        <v>Joao Barros</v>
      </c>
      <c r="H36" s="1">
        <v>1.0</v>
      </c>
      <c r="I36" s="1" t="s">
        <v>82</v>
      </c>
      <c r="J36" s="9" t="str">
        <f t="array" ref="J36">INDEX(TeamsID!B:B,MATCH(D36,TeamsID!A:A,0))</f>
        <v>Brazukas</v>
      </c>
      <c r="K36" s="10">
        <f t="array" ref="K36">INDEX(GamesId!F:F,MATCH(E36,GamesId!A:A,0))</f>
        <v>45055</v>
      </c>
      <c r="L36" s="9" t="str">
        <f t="array" ref="L36">INDEX(GamesId!J:J,MATCH(E36,GamesId!A:A,0))</f>
        <v>Tues Men's D Spring 23</v>
      </c>
    </row>
    <row r="37">
      <c r="A37" s="1">
        <f t="shared" si="1"/>
        <v>36</v>
      </c>
      <c r="B37" s="1" t="s">
        <v>46</v>
      </c>
      <c r="C37" s="1" t="s">
        <v>47</v>
      </c>
      <c r="D37" s="1">
        <v>1.0</v>
      </c>
      <c r="E37" s="1">
        <v>89.0</v>
      </c>
      <c r="F37" s="1">
        <v>15.0</v>
      </c>
      <c r="G37" s="1" t="str">
        <f t="array" ref="G37">if(ISNUMBER(F37),index(PlayerID!B:B,MATCH(F37,PlayerID!A:A,0)),"")</f>
        <v>Gustavo Bitencourt</v>
      </c>
      <c r="H37" s="1">
        <v>1.0</v>
      </c>
      <c r="I37" s="1" t="s">
        <v>83</v>
      </c>
      <c r="J37" s="9" t="str">
        <f t="array" ref="J37">INDEX(TeamsID!B:B,MATCH(D37,TeamsID!A:A,0))</f>
        <v>Brazukas</v>
      </c>
      <c r="K37" s="10">
        <f t="array" ref="K37">INDEX(GamesId!F:F,MATCH(E37,GamesId!A:A,0))</f>
        <v>45055</v>
      </c>
      <c r="L37" s="9" t="str">
        <f t="array" ref="L37">INDEX(GamesId!J:J,MATCH(E37,GamesId!A:A,0))</f>
        <v>Tues Men's D Spring 23</v>
      </c>
    </row>
    <row r="38">
      <c r="A38" s="1">
        <f t="shared" si="1"/>
        <v>37</v>
      </c>
      <c r="B38" s="1" t="s">
        <v>46</v>
      </c>
      <c r="C38" s="1" t="s">
        <v>47</v>
      </c>
      <c r="D38" s="1">
        <v>1.0</v>
      </c>
      <c r="E38" s="1">
        <v>89.0</v>
      </c>
      <c r="F38" s="1">
        <v>16.0</v>
      </c>
      <c r="G38" s="1" t="str">
        <f t="array" ref="G38">if(ISNUMBER(F38),index(PlayerID!B:B,MATCH(F38,PlayerID!A:A,0)),"")</f>
        <v>Tamir Guy</v>
      </c>
      <c r="H38" s="1">
        <v>1.0</v>
      </c>
      <c r="I38" s="1" t="s">
        <v>84</v>
      </c>
      <c r="J38" s="9" t="str">
        <f t="array" ref="J38">INDEX(TeamsID!B:B,MATCH(D38,TeamsID!A:A,0))</f>
        <v>Brazukas</v>
      </c>
      <c r="K38" s="10">
        <f t="array" ref="K38">INDEX(GamesId!F:F,MATCH(E38,GamesId!A:A,0))</f>
        <v>45055</v>
      </c>
      <c r="L38" s="9" t="str">
        <f t="array" ref="L38">INDEX(GamesId!J:J,MATCH(E38,GamesId!A:A,0))</f>
        <v>Tues Men's D Spring 23</v>
      </c>
    </row>
    <row r="39">
      <c r="A39" s="1">
        <f t="shared" si="1"/>
        <v>38</v>
      </c>
      <c r="B39" s="1" t="s">
        <v>46</v>
      </c>
      <c r="C39" s="1" t="s">
        <v>47</v>
      </c>
      <c r="D39" s="1">
        <v>1.0</v>
      </c>
      <c r="E39" s="1">
        <v>89.0</v>
      </c>
      <c r="F39" s="1">
        <v>10.0</v>
      </c>
      <c r="G39" s="1" t="str">
        <f t="array" ref="G39">if(ISNUMBER(F39),index(PlayerID!B:B,MATCH(F39,PlayerID!A:A,0)),"")</f>
        <v>Arthur Mendes</v>
      </c>
      <c r="H39" s="1">
        <v>1.0</v>
      </c>
      <c r="I39" s="1" t="s">
        <v>85</v>
      </c>
      <c r="J39" s="9" t="str">
        <f t="array" ref="J39">INDEX(TeamsID!B:B,MATCH(D39,TeamsID!A:A,0))</f>
        <v>Brazukas</v>
      </c>
      <c r="K39" s="10">
        <f t="array" ref="K39">INDEX(GamesId!F:F,MATCH(E39,GamesId!A:A,0))</f>
        <v>45055</v>
      </c>
      <c r="L39" s="9" t="str">
        <f t="array" ref="L39">INDEX(GamesId!J:J,MATCH(E39,GamesId!A:A,0))</f>
        <v>Tues Men's D Spring 23</v>
      </c>
    </row>
    <row r="40">
      <c r="A40" s="1">
        <f t="shared" si="1"/>
        <v>39</v>
      </c>
      <c r="B40" s="1" t="s">
        <v>46</v>
      </c>
      <c r="C40" s="1" t="s">
        <v>50</v>
      </c>
      <c r="D40" s="1">
        <v>1.0</v>
      </c>
      <c r="E40" s="1">
        <v>89.0</v>
      </c>
      <c r="F40" s="1">
        <v>8.0</v>
      </c>
      <c r="G40" s="1" t="str">
        <f t="array" ref="G40">if(ISNUMBER(F40),index(PlayerID!B:B,MATCH(F40,PlayerID!A:A,0)),"")</f>
        <v>Cleiton Góes</v>
      </c>
      <c r="H40" s="1">
        <v>1.0</v>
      </c>
      <c r="I40" s="1" t="s">
        <v>83</v>
      </c>
      <c r="J40" s="9" t="str">
        <f t="array" ref="J40">INDEX(TeamsID!B:B,MATCH(D40,TeamsID!A:A,0))</f>
        <v>Brazukas</v>
      </c>
      <c r="K40" s="10">
        <f t="array" ref="K40">INDEX(GamesId!F:F,MATCH(E40,GamesId!A:A,0))</f>
        <v>45055</v>
      </c>
      <c r="L40" s="9" t="str">
        <f t="array" ref="L40">INDEX(GamesId!J:J,MATCH(E40,GamesId!A:A,0))</f>
        <v>Tues Men's D Spring 23</v>
      </c>
    </row>
    <row r="41">
      <c r="A41" s="1">
        <f t="shared" si="1"/>
        <v>40</v>
      </c>
      <c r="B41" s="1" t="s">
        <v>46</v>
      </c>
      <c r="C41" s="1" t="s">
        <v>50</v>
      </c>
      <c r="D41" s="1">
        <v>1.0</v>
      </c>
      <c r="E41" s="1">
        <v>89.0</v>
      </c>
      <c r="F41" s="1">
        <v>13.0</v>
      </c>
      <c r="G41" s="1" t="str">
        <f t="array" ref="G41">if(ISNUMBER(F41),index(PlayerID!B:B,MATCH(F41,PlayerID!A:A,0)),"")</f>
        <v>Caio Scofield</v>
      </c>
      <c r="H41" s="1">
        <v>1.0</v>
      </c>
      <c r="I41" s="1" t="s">
        <v>84</v>
      </c>
      <c r="J41" s="9" t="str">
        <f t="array" ref="J41">INDEX(TeamsID!B:B,MATCH(D41,TeamsID!A:A,0))</f>
        <v>Brazukas</v>
      </c>
      <c r="K41" s="10">
        <f t="array" ref="K41">INDEX(GamesId!F:F,MATCH(E41,GamesId!A:A,0))</f>
        <v>45055</v>
      </c>
      <c r="L41" s="9" t="str">
        <f t="array" ref="L41">INDEX(GamesId!J:J,MATCH(E41,GamesId!A:A,0))</f>
        <v>Tues Men's D Spring 23</v>
      </c>
    </row>
    <row r="42">
      <c r="A42" s="1">
        <f t="shared" si="1"/>
        <v>41</v>
      </c>
      <c r="B42" s="1" t="s">
        <v>46</v>
      </c>
      <c r="C42" s="1" t="s">
        <v>50</v>
      </c>
      <c r="D42" s="1">
        <v>1.0</v>
      </c>
      <c r="E42" s="1">
        <v>89.0</v>
      </c>
      <c r="F42" s="1">
        <v>16.0</v>
      </c>
      <c r="G42" s="1" t="str">
        <f t="array" ref="G42">if(ISNUMBER(F42),index(PlayerID!B:B,MATCH(F42,PlayerID!A:A,0)),"")</f>
        <v>Tamir Guy</v>
      </c>
      <c r="H42" s="1">
        <v>1.0</v>
      </c>
      <c r="I42" s="1" t="s">
        <v>85</v>
      </c>
      <c r="J42" s="9" t="str">
        <f t="array" ref="J42">INDEX(TeamsID!B:B,MATCH(D42,TeamsID!A:A,0))</f>
        <v>Brazukas</v>
      </c>
      <c r="K42" s="10">
        <f t="array" ref="K42">INDEX(GamesId!F:F,MATCH(E42,GamesId!A:A,0))</f>
        <v>45055</v>
      </c>
      <c r="L42" s="9" t="str">
        <f t="array" ref="L42">INDEX(GamesId!J:J,MATCH(E42,GamesId!A:A,0))</f>
        <v>Tues Men's D Spring 23</v>
      </c>
    </row>
    <row r="43">
      <c r="A43" s="1">
        <f t="shared" si="1"/>
        <v>42</v>
      </c>
      <c r="B43" s="1" t="s">
        <v>46</v>
      </c>
      <c r="C43" s="1" t="s">
        <v>47</v>
      </c>
      <c r="D43" s="1">
        <v>2.0</v>
      </c>
      <c r="E43" s="1">
        <v>112.0</v>
      </c>
      <c r="F43" s="1">
        <v>10.0</v>
      </c>
      <c r="G43" s="1" t="str">
        <f t="array" ref="G43">if(ISNUMBER(F43),index(PlayerID!B:B,MATCH(F43,PlayerID!A:A,0)),"")</f>
        <v>Arthur Mendes</v>
      </c>
      <c r="H43" s="1">
        <v>1.0</v>
      </c>
      <c r="I43" s="1" t="s">
        <v>86</v>
      </c>
      <c r="J43" s="9" t="str">
        <f t="array" ref="J43">INDEX(TeamsID!B:B,MATCH(D43,TeamsID!A:A,0))</f>
        <v>RECEBA FC</v>
      </c>
      <c r="K43" s="10">
        <f t="array" ref="K43">INDEX(GamesId!F:F,MATCH(E43,GamesId!A:A,0))</f>
        <v>45057</v>
      </c>
      <c r="L43" s="9" t="str">
        <f t="array" ref="L43">INDEX(GamesId!J:J,MATCH(E43,GamesId!A:A,0))</f>
        <v>Thurs Men's D Spring 23</v>
      </c>
    </row>
    <row r="44">
      <c r="A44" s="1">
        <f t="shared" si="1"/>
        <v>43</v>
      </c>
      <c r="B44" s="1" t="s">
        <v>46</v>
      </c>
      <c r="C44" s="1" t="s">
        <v>47</v>
      </c>
      <c r="D44" s="1">
        <v>2.0</v>
      </c>
      <c r="E44" s="1">
        <v>112.0</v>
      </c>
      <c r="F44" s="1">
        <v>14.0</v>
      </c>
      <c r="G44" s="1" t="str">
        <f t="array" ref="G44">if(ISNUMBER(F44),index(PlayerID!B:B,MATCH(F44,PlayerID!A:A,0)),"")</f>
        <v>Marcelo Mazzafera</v>
      </c>
      <c r="H44" s="1">
        <v>1.0</v>
      </c>
      <c r="I44" s="1" t="s">
        <v>87</v>
      </c>
      <c r="J44" s="9" t="str">
        <f t="array" ref="J44">INDEX(TeamsID!B:B,MATCH(D44,TeamsID!A:A,0))</f>
        <v>RECEBA FC</v>
      </c>
      <c r="K44" s="10">
        <f t="array" ref="K44">INDEX(GamesId!F:F,MATCH(E44,GamesId!A:A,0))</f>
        <v>45057</v>
      </c>
      <c r="L44" s="9" t="str">
        <f t="array" ref="L44">INDEX(GamesId!J:J,MATCH(E44,GamesId!A:A,0))</f>
        <v>Thurs Men's D Spring 23</v>
      </c>
    </row>
    <row r="45">
      <c r="A45" s="1">
        <f t="shared" si="1"/>
        <v>44</v>
      </c>
      <c r="B45" s="1" t="s">
        <v>46</v>
      </c>
      <c r="C45" s="1" t="s">
        <v>47</v>
      </c>
      <c r="D45" s="1">
        <v>2.0</v>
      </c>
      <c r="E45" s="1">
        <v>112.0</v>
      </c>
      <c r="F45" s="1">
        <v>6.0</v>
      </c>
      <c r="G45" s="1" t="str">
        <f t="array" ref="G45">if(ISNUMBER(F45),index(PlayerID!B:B,MATCH(F45,PlayerID!A:A,0)),"")</f>
        <v>Ranieri Filho</v>
      </c>
      <c r="H45" s="1">
        <v>1.0</v>
      </c>
      <c r="I45" s="1" t="s">
        <v>88</v>
      </c>
      <c r="J45" s="9" t="str">
        <f t="array" ref="J45">INDEX(TeamsID!B:B,MATCH(D45,TeamsID!A:A,0))</f>
        <v>RECEBA FC</v>
      </c>
      <c r="K45" s="10">
        <f t="array" ref="K45">INDEX(GamesId!F:F,MATCH(E45,GamesId!A:A,0))</f>
        <v>45057</v>
      </c>
      <c r="L45" s="9" t="str">
        <f t="array" ref="L45">INDEX(GamesId!J:J,MATCH(E45,GamesId!A:A,0))</f>
        <v>Thurs Men's D Spring 23</v>
      </c>
    </row>
    <row r="46">
      <c r="A46" s="1">
        <f t="shared" si="1"/>
        <v>45</v>
      </c>
      <c r="B46" s="1" t="s">
        <v>46</v>
      </c>
      <c r="C46" s="1" t="s">
        <v>47</v>
      </c>
      <c r="D46" s="1">
        <v>2.0</v>
      </c>
      <c r="E46" s="1">
        <v>112.0</v>
      </c>
      <c r="F46" s="1">
        <v>3.0</v>
      </c>
      <c r="G46" s="1" t="str">
        <f t="array" ref="G46">if(ISNUMBER(F46),index(PlayerID!B:B,MATCH(F46,PlayerID!A:A,0)),"")</f>
        <v>Joao Pinto</v>
      </c>
      <c r="H46" s="1">
        <v>1.0</v>
      </c>
      <c r="I46" s="1" t="s">
        <v>89</v>
      </c>
      <c r="J46" s="9" t="str">
        <f t="array" ref="J46">INDEX(TeamsID!B:B,MATCH(D46,TeamsID!A:A,0))</f>
        <v>RECEBA FC</v>
      </c>
      <c r="K46" s="10">
        <f t="array" ref="K46">INDEX(GamesId!F:F,MATCH(E46,GamesId!A:A,0))</f>
        <v>45057</v>
      </c>
      <c r="L46" s="9" t="str">
        <f t="array" ref="L46">INDEX(GamesId!J:J,MATCH(E46,GamesId!A:A,0))</f>
        <v>Thurs Men's D Spring 23</v>
      </c>
    </row>
    <row r="47">
      <c r="A47" s="1">
        <f t="shared" si="1"/>
        <v>46</v>
      </c>
      <c r="B47" s="1" t="s">
        <v>46</v>
      </c>
      <c r="C47" s="1" t="s">
        <v>47</v>
      </c>
      <c r="D47" s="1">
        <v>2.0</v>
      </c>
      <c r="E47" s="1">
        <v>112.0</v>
      </c>
      <c r="F47" s="1">
        <v>4.0</v>
      </c>
      <c r="G47" s="1" t="str">
        <f t="array" ref="G47">if(ISNUMBER(F47),index(PlayerID!B:B,MATCH(F47,PlayerID!A:A,0)),"")</f>
        <v>Rafael Franco</v>
      </c>
      <c r="H47" s="1">
        <v>1.0</v>
      </c>
      <c r="I47" s="1" t="s">
        <v>90</v>
      </c>
      <c r="J47" s="9" t="str">
        <f t="array" ref="J47">INDEX(TeamsID!B:B,MATCH(D47,TeamsID!A:A,0))</f>
        <v>RECEBA FC</v>
      </c>
      <c r="K47" s="10">
        <f t="array" ref="K47">INDEX(GamesId!F:F,MATCH(E47,GamesId!A:A,0))</f>
        <v>45057</v>
      </c>
      <c r="L47" s="9" t="str">
        <f t="array" ref="L47">INDEX(GamesId!J:J,MATCH(E47,GamesId!A:A,0))</f>
        <v>Thurs Men's D Spring 23</v>
      </c>
    </row>
    <row r="48">
      <c r="A48" s="1">
        <f t="shared" si="1"/>
        <v>47</v>
      </c>
      <c r="B48" s="1" t="s">
        <v>46</v>
      </c>
      <c r="C48" s="1" t="s">
        <v>47</v>
      </c>
      <c r="D48" s="1">
        <v>2.0</v>
      </c>
      <c r="E48" s="1">
        <v>112.0</v>
      </c>
      <c r="F48" s="1">
        <v>4.0</v>
      </c>
      <c r="G48" s="1" t="str">
        <f t="array" ref="G48">if(ISNUMBER(F48),index(PlayerID!B:B,MATCH(F48,PlayerID!A:A,0)),"")</f>
        <v>Rafael Franco</v>
      </c>
      <c r="H48" s="1">
        <v>1.0</v>
      </c>
      <c r="I48" s="1" t="s">
        <v>91</v>
      </c>
      <c r="J48" s="9" t="str">
        <f t="array" ref="J48">INDEX(TeamsID!B:B,MATCH(D48,TeamsID!A:A,0))</f>
        <v>RECEBA FC</v>
      </c>
      <c r="K48" s="10">
        <f t="array" ref="K48">INDEX(GamesId!F:F,MATCH(E48,GamesId!A:A,0))</f>
        <v>45057</v>
      </c>
      <c r="L48" s="9" t="str">
        <f t="array" ref="L48">INDEX(GamesId!J:J,MATCH(E48,GamesId!A:A,0))</f>
        <v>Thurs Men's D Spring 23</v>
      </c>
    </row>
    <row r="49">
      <c r="A49" s="1">
        <f t="shared" si="1"/>
        <v>48</v>
      </c>
      <c r="B49" s="1" t="s">
        <v>46</v>
      </c>
      <c r="C49" s="1" t="s">
        <v>50</v>
      </c>
      <c r="D49" s="1">
        <v>2.0</v>
      </c>
      <c r="E49" s="1">
        <v>112.0</v>
      </c>
      <c r="F49" s="1">
        <v>4.0</v>
      </c>
      <c r="G49" s="1" t="str">
        <f t="array" ref="G49">if(ISNUMBER(F49),index(PlayerID!B:B,MATCH(F49,PlayerID!A:A,0)),"")</f>
        <v>Rafael Franco</v>
      </c>
      <c r="H49" s="1">
        <v>1.0</v>
      </c>
      <c r="I49" s="9" t="str">
        <f>I43</f>
        <v>Gol 1 - Gol do Arthur. Sérgio estica pro rato q passa pro meio. Arthur domina tirando do zagueiro e goleiro e bate cruzado pra dentro do gol</v>
      </c>
      <c r="J49" s="9" t="str">
        <f t="array" ref="J49">INDEX(TeamsID!B:B,MATCH(D49,TeamsID!A:A,0))</f>
        <v>RECEBA FC</v>
      </c>
      <c r="K49" s="10">
        <f t="array" ref="K49">INDEX(GamesId!F:F,MATCH(E49,GamesId!A:A,0))</f>
        <v>45057</v>
      </c>
      <c r="L49" s="9" t="str">
        <f t="array" ref="L49">INDEX(GamesId!J:J,MATCH(E49,GamesId!A:A,0))</f>
        <v>Thurs Men's D Spring 23</v>
      </c>
    </row>
    <row r="50">
      <c r="A50" s="1">
        <f t="shared" si="1"/>
        <v>49</v>
      </c>
      <c r="B50" s="1" t="s">
        <v>46</v>
      </c>
      <c r="C50" s="1" t="s">
        <v>50</v>
      </c>
      <c r="D50" s="1">
        <v>2.0</v>
      </c>
      <c r="E50" s="1">
        <v>112.0</v>
      </c>
      <c r="F50" s="1">
        <v>19.0</v>
      </c>
      <c r="G50" s="1" t="str">
        <f t="array" ref="G50">if(ISNUMBER(F50),index(PlayerID!B:B,MATCH(F50,PlayerID!A:A,0)),"")</f>
        <v>Emerson Bernardes</v>
      </c>
      <c r="H50" s="1">
        <v>1.0</v>
      </c>
      <c r="I50" s="9" t="str">
        <f t="shared" ref="I50:I53" si="2">I45</f>
        <v>Gol 3 - Ranieri. Contra ataque assist do Emerson . Corta luz a lá Rivaldo do Cleiton. Ranierto carlos fuzilou pra dentro.</v>
      </c>
      <c r="J50" s="9" t="str">
        <f t="array" ref="J50">INDEX(TeamsID!B:B,MATCH(D50,TeamsID!A:A,0))</f>
        <v>RECEBA FC</v>
      </c>
      <c r="K50" s="10">
        <f t="array" ref="K50">INDEX(GamesId!F:F,MATCH(E50,GamesId!A:A,0))</f>
        <v>45057</v>
      </c>
      <c r="L50" s="9" t="str">
        <f t="array" ref="L50">INDEX(GamesId!J:J,MATCH(E50,GamesId!A:A,0))</f>
        <v>Thurs Men's D Spring 23</v>
      </c>
    </row>
    <row r="51">
      <c r="A51" s="1">
        <f t="shared" si="1"/>
        <v>50</v>
      </c>
      <c r="B51" s="1" t="s">
        <v>46</v>
      </c>
      <c r="C51" s="1" t="s">
        <v>50</v>
      </c>
      <c r="D51" s="1">
        <v>2.0</v>
      </c>
      <c r="E51" s="1">
        <v>112.0</v>
      </c>
      <c r="F51" s="1">
        <v>19.0</v>
      </c>
      <c r="G51" s="1" t="str">
        <f t="array" ref="G51">if(ISNUMBER(F51),index(PlayerID!B:B,MATCH(F51,PlayerID!A:A,0)),"")</f>
        <v>Emerson Bernardes</v>
      </c>
      <c r="H51" s="1">
        <v>1.0</v>
      </c>
      <c r="I51" s="9" t="str">
        <f t="shared" si="2"/>
        <v>Gol 4 - Gol do Penis. Tabela com Emerson em um contra ataque</v>
      </c>
      <c r="J51" s="9" t="str">
        <f t="array" ref="J51">INDEX(TeamsID!B:B,MATCH(D51,TeamsID!A:A,0))</f>
        <v>RECEBA FC</v>
      </c>
      <c r="K51" s="10">
        <f t="array" ref="K51">INDEX(GamesId!F:F,MATCH(E51,GamesId!A:A,0))</f>
        <v>45057</v>
      </c>
      <c r="L51" s="9" t="str">
        <f t="array" ref="L51">INDEX(GamesId!J:J,MATCH(E51,GamesId!A:A,0))</f>
        <v>Thurs Men's D Spring 23</v>
      </c>
    </row>
    <row r="52">
      <c r="A52" s="1">
        <f t="shared" si="1"/>
        <v>51</v>
      </c>
      <c r="B52" s="1" t="s">
        <v>46</v>
      </c>
      <c r="C52" s="1" t="s">
        <v>50</v>
      </c>
      <c r="D52" s="1">
        <v>2.0</v>
      </c>
      <c r="E52" s="1">
        <v>112.0</v>
      </c>
      <c r="F52" s="1">
        <v>10.0</v>
      </c>
      <c r="G52" s="1" t="str">
        <f t="array" ref="G52">if(ISNUMBER(F52),index(PlayerID!B:B,MATCH(F52,PlayerID!A:A,0)),"")</f>
        <v>Arthur Mendes</v>
      </c>
      <c r="H52" s="1">
        <v>1.0</v>
      </c>
      <c r="I52" s="9" t="str">
        <f t="shared" si="2"/>
        <v>Gol 5 -  Gol do rato. Arthur tabela com Sérgio e depois serve o rato no meio da área</v>
      </c>
      <c r="J52" s="9" t="str">
        <f t="array" ref="J52">INDEX(TeamsID!B:B,MATCH(D52,TeamsID!A:A,0))</f>
        <v>RECEBA FC</v>
      </c>
      <c r="K52" s="10">
        <f t="array" ref="K52">INDEX(GamesId!F:F,MATCH(E52,GamesId!A:A,0))</f>
        <v>45057</v>
      </c>
      <c r="L52" s="9" t="str">
        <f t="array" ref="L52">INDEX(GamesId!J:J,MATCH(E52,GamesId!A:A,0))</f>
        <v>Thurs Men's D Spring 23</v>
      </c>
    </row>
    <row r="53">
      <c r="A53" s="1">
        <f t="shared" si="1"/>
        <v>52</v>
      </c>
      <c r="B53" s="1" t="s">
        <v>46</v>
      </c>
      <c r="C53" s="1" t="s">
        <v>50</v>
      </c>
      <c r="D53" s="1">
        <v>2.0</v>
      </c>
      <c r="E53" s="1">
        <v>112.0</v>
      </c>
      <c r="F53" s="1">
        <v>10.0</v>
      </c>
      <c r="G53" s="1" t="str">
        <f t="array" ref="G53">if(ISNUMBER(F53),index(PlayerID!B:B,MATCH(F53,PlayerID!A:A,0)),"")</f>
        <v>Arthur Mendes</v>
      </c>
      <c r="H53" s="1">
        <v>1.0</v>
      </c>
      <c r="I53" s="9" t="str">
        <f t="shared" si="2"/>
        <v>Gol 6 - Gol do rato. Arthur da passe milimétrico pelo meio pro rato q coloca pra dentro</v>
      </c>
      <c r="J53" s="9" t="str">
        <f t="array" ref="J53">INDEX(TeamsID!B:B,MATCH(D53,TeamsID!A:A,0))</f>
        <v>RECEBA FC</v>
      </c>
      <c r="K53" s="10">
        <f t="array" ref="K53">INDEX(GamesId!F:F,MATCH(E53,GamesId!A:A,0))</f>
        <v>45057</v>
      </c>
      <c r="L53" s="9" t="str">
        <f t="array" ref="L53">INDEX(GamesId!J:J,MATCH(E53,GamesId!A:A,0))</f>
        <v>Thurs Men's D Spring 23</v>
      </c>
    </row>
    <row r="54">
      <c r="A54" s="1">
        <f t="shared" si="1"/>
        <v>53</v>
      </c>
      <c r="B54" s="1" t="s">
        <v>61</v>
      </c>
      <c r="C54" s="1" t="s">
        <v>62</v>
      </c>
      <c r="D54" s="1">
        <v>47.0</v>
      </c>
      <c r="E54" s="1">
        <v>112.0</v>
      </c>
      <c r="I54" s="1" t="s">
        <v>92</v>
      </c>
      <c r="J54" s="9" t="str">
        <f t="array" ref="J54">INDEX(TeamsID!B:B,MATCH(D54,TeamsID!A:A,0))</f>
        <v>Team Cookie</v>
      </c>
      <c r="K54" s="10">
        <f t="array" ref="K54">INDEX(GamesId!F:F,MATCH(E54,GamesId!A:A,0))</f>
        <v>45057</v>
      </c>
      <c r="L54" s="9" t="str">
        <f t="array" ref="L54">INDEX(GamesId!J:J,MATCH(E54,GamesId!A:A,0))</f>
        <v>Thurs Men's D Spring 23</v>
      </c>
    </row>
    <row r="55">
      <c r="A55" s="1">
        <f t="shared" si="1"/>
        <v>54</v>
      </c>
      <c r="B55" s="1" t="s">
        <v>46</v>
      </c>
      <c r="C55" s="1" t="s">
        <v>59</v>
      </c>
      <c r="D55" s="1">
        <v>47.0</v>
      </c>
      <c r="E55" s="1">
        <v>112.0</v>
      </c>
      <c r="G55" s="1" t="str">
        <f t="array" ref="G55">if(ISNUMBER(F55),index(PlayerID!B:B,MATCH(F55,PlayerID!A:A,0)),"")</f>
        <v/>
      </c>
      <c r="I55" s="1" t="s">
        <v>93</v>
      </c>
      <c r="J55" s="9" t="str">
        <f t="array" ref="J55">INDEX(TeamsID!B:B,MATCH(D55,TeamsID!A:A,0))</f>
        <v>Team Cookie</v>
      </c>
      <c r="K55" s="10">
        <f t="array" ref="K55">INDEX(GamesId!F:F,MATCH(E55,GamesId!A:A,0))</f>
        <v>45057</v>
      </c>
      <c r="L55" s="9" t="str">
        <f t="array" ref="L55">INDEX(GamesId!J:J,MATCH(E55,GamesId!A:A,0))</f>
        <v>Thurs Men's D Spring 23</v>
      </c>
    </row>
    <row r="56">
      <c r="A56" s="1">
        <f t="shared" si="1"/>
        <v>55</v>
      </c>
      <c r="B56" s="1" t="s">
        <v>46</v>
      </c>
      <c r="C56" s="1" t="s">
        <v>47</v>
      </c>
      <c r="D56" s="1">
        <v>1.0</v>
      </c>
      <c r="E56" s="1">
        <v>91.0</v>
      </c>
      <c r="F56" s="1">
        <v>10.0</v>
      </c>
      <c r="G56" s="1" t="str">
        <f t="array" ref="G56">if(ISNUMBER(F56),index(PlayerID!B:B,MATCH(F56,PlayerID!A:A,0)),"")</f>
        <v>Arthur Mendes</v>
      </c>
      <c r="H56" s="1">
        <v>1.0</v>
      </c>
      <c r="I56" s="1" t="s">
        <v>94</v>
      </c>
      <c r="J56" s="9" t="str">
        <f t="array" ref="J56">INDEX(TeamsID!B:B,MATCH(D56,TeamsID!A:A,0))</f>
        <v>Brazukas</v>
      </c>
      <c r="K56" s="10">
        <f t="array" ref="K56">INDEX(GamesId!F:F,MATCH(E56,GamesId!A:A,0))</f>
        <v>45068</v>
      </c>
      <c r="L56" s="9" t="str">
        <f t="array" ref="L56">INDEX(GamesId!J:J,MATCH(E56,GamesId!A:A,0))</f>
        <v>Tues Men's D Spring 23</v>
      </c>
    </row>
    <row r="57">
      <c r="A57" s="1">
        <f t="shared" si="1"/>
        <v>56</v>
      </c>
      <c r="B57" s="1" t="s">
        <v>46</v>
      </c>
      <c r="C57" s="1" t="s">
        <v>47</v>
      </c>
      <c r="D57" s="1">
        <v>1.0</v>
      </c>
      <c r="E57" s="1">
        <v>91.0</v>
      </c>
      <c r="F57" s="1">
        <v>9.0</v>
      </c>
      <c r="G57" s="1" t="str">
        <f t="array" ref="G57">if(ISNUMBER(F57),index(PlayerID!B:B,MATCH(F57,PlayerID!A:A,0)),"")</f>
        <v>Guilherme Kuster</v>
      </c>
      <c r="H57" s="1">
        <v>1.0</v>
      </c>
      <c r="I57" s="1" t="s">
        <v>95</v>
      </c>
      <c r="J57" s="9" t="str">
        <f t="array" ref="J57">INDEX(TeamsID!B:B,MATCH(D57,TeamsID!A:A,0))</f>
        <v>Brazukas</v>
      </c>
      <c r="K57" s="10">
        <f t="array" ref="K57">INDEX(GamesId!F:F,MATCH(E57,GamesId!A:A,0))</f>
        <v>45068</v>
      </c>
      <c r="L57" s="9" t="str">
        <f t="array" ref="L57">INDEX(GamesId!J:J,MATCH(E57,GamesId!A:A,0))</f>
        <v>Tues Men's D Spring 23</v>
      </c>
    </row>
    <row r="58">
      <c r="A58" s="1">
        <f t="shared" si="1"/>
        <v>57</v>
      </c>
      <c r="B58" s="1" t="s">
        <v>46</v>
      </c>
      <c r="C58" s="1" t="s">
        <v>47</v>
      </c>
      <c r="D58" s="1">
        <v>1.0</v>
      </c>
      <c r="E58" s="1">
        <v>91.0</v>
      </c>
      <c r="F58" s="1">
        <v>9.0</v>
      </c>
      <c r="G58" s="1" t="str">
        <f t="array" ref="G58">if(ISNUMBER(F58),index(PlayerID!B:B,MATCH(F58,PlayerID!A:A,0)),"")</f>
        <v>Guilherme Kuster</v>
      </c>
      <c r="H58" s="1">
        <v>1.0</v>
      </c>
      <c r="I58" s="1" t="s">
        <v>96</v>
      </c>
      <c r="J58" s="9" t="str">
        <f t="array" ref="J58">INDEX(TeamsID!B:B,MATCH(D58,TeamsID!A:A,0))</f>
        <v>Brazukas</v>
      </c>
      <c r="K58" s="10">
        <f t="array" ref="K58">INDEX(GamesId!F:F,MATCH(E58,GamesId!A:A,0))</f>
        <v>45068</v>
      </c>
      <c r="L58" s="9" t="str">
        <f t="array" ref="L58">INDEX(GamesId!J:J,MATCH(E58,GamesId!A:A,0))</f>
        <v>Tues Men's D Spring 23</v>
      </c>
    </row>
    <row r="59">
      <c r="A59" s="1">
        <f t="shared" si="1"/>
        <v>58</v>
      </c>
      <c r="B59" s="1" t="s">
        <v>46</v>
      </c>
      <c r="C59" s="1" t="s">
        <v>47</v>
      </c>
      <c r="D59" s="1">
        <v>1.0</v>
      </c>
      <c r="E59" s="1">
        <v>91.0</v>
      </c>
      <c r="F59" s="1">
        <v>4.0</v>
      </c>
      <c r="G59" s="1" t="str">
        <f t="array" ref="G59">if(ISNUMBER(F59),index(PlayerID!B:B,MATCH(F59,PlayerID!A:A,0)),"")</f>
        <v>Rafael Franco</v>
      </c>
      <c r="H59" s="1">
        <v>1.0</v>
      </c>
      <c r="I59" s="1" t="s">
        <v>97</v>
      </c>
      <c r="J59" s="9" t="str">
        <f t="array" ref="J59">INDEX(TeamsID!B:B,MATCH(D59,TeamsID!A:A,0))</f>
        <v>Brazukas</v>
      </c>
      <c r="K59" s="10">
        <f t="array" ref="K59">INDEX(GamesId!F:F,MATCH(E59,GamesId!A:A,0))</f>
        <v>45068</v>
      </c>
      <c r="L59" s="9" t="str">
        <f t="array" ref="L59">INDEX(GamesId!J:J,MATCH(E59,GamesId!A:A,0))</f>
        <v>Tues Men's D Spring 23</v>
      </c>
    </row>
    <row r="60">
      <c r="A60" s="1">
        <f t="shared" si="1"/>
        <v>59</v>
      </c>
      <c r="B60" s="1" t="s">
        <v>46</v>
      </c>
      <c r="C60" s="1" t="s">
        <v>50</v>
      </c>
      <c r="D60" s="1">
        <v>1.0</v>
      </c>
      <c r="E60" s="1">
        <v>91.0</v>
      </c>
      <c r="F60" s="1">
        <v>18.0</v>
      </c>
      <c r="G60" s="1" t="str">
        <f t="array" ref="G60">if(ISNUMBER(F60),index(PlayerID!B:B,MATCH(F60,PlayerID!A:A,0)),"")</f>
        <v>Rafael Mattos</v>
      </c>
      <c r="H60" s="1">
        <v>1.0</v>
      </c>
      <c r="I60" s="9" t="str">
        <f>I56</f>
        <v>Gol 1 - Gol do Arthur. dribla o goleiro apos rafa mattos dividir bola no ataque</v>
      </c>
      <c r="J60" s="9" t="str">
        <f t="array" ref="J60">INDEX(TeamsID!B:B,MATCH(D60,TeamsID!A:A,0))</f>
        <v>Brazukas</v>
      </c>
      <c r="K60" s="10">
        <f t="array" ref="K60">INDEX(GamesId!F:F,MATCH(E60,GamesId!A:A,0))</f>
        <v>45068</v>
      </c>
      <c r="L60" s="9" t="str">
        <f t="array" ref="L60">INDEX(GamesId!J:J,MATCH(E60,GamesId!A:A,0))</f>
        <v>Tues Men's D Spring 23</v>
      </c>
    </row>
    <row r="61">
      <c r="A61" s="1">
        <f t="shared" si="1"/>
        <v>60</v>
      </c>
      <c r="B61" s="1" t="s">
        <v>46</v>
      </c>
      <c r="C61" s="1" t="s">
        <v>50</v>
      </c>
      <c r="D61" s="1">
        <v>1.0</v>
      </c>
      <c r="E61" s="1">
        <v>91.0</v>
      </c>
      <c r="F61" s="1">
        <v>5.0</v>
      </c>
      <c r="G61" s="1" t="str">
        <f t="array" ref="G61">if(ISNUMBER(F61),index(PlayerID!B:B,MATCH(F61,PlayerID!A:A,0)),"")</f>
        <v>Joao Barros</v>
      </c>
      <c r="H61" s="1">
        <v>1.0</v>
      </c>
      <c r="I61" s="9" t="str">
        <f t="shared" ref="I61:I62" si="3">I58</f>
        <v>Gol 3 - Gol Kuster dominando de pescoco um tijolo q o JB msandou. Lindo voleio de canhota</v>
      </c>
      <c r="J61" s="9" t="str">
        <f t="array" ref="J61">INDEX(TeamsID!B:B,MATCH(D61,TeamsID!A:A,0))</f>
        <v>Brazukas</v>
      </c>
      <c r="K61" s="10">
        <f t="array" ref="K61">INDEX(GamesId!F:F,MATCH(E61,GamesId!A:A,0))</f>
        <v>45068</v>
      </c>
      <c r="L61" s="9" t="str">
        <f t="array" ref="L61">INDEX(GamesId!J:J,MATCH(E61,GamesId!A:A,0))</f>
        <v>Tues Men's D Spring 23</v>
      </c>
    </row>
    <row r="62">
      <c r="A62" s="1">
        <f t="shared" si="1"/>
        <v>61</v>
      </c>
      <c r="B62" s="1" t="s">
        <v>46</v>
      </c>
      <c r="C62" s="1" t="s">
        <v>50</v>
      </c>
      <c r="D62" s="1">
        <v>1.0</v>
      </c>
      <c r="E62" s="1">
        <v>91.0</v>
      </c>
      <c r="F62" s="1">
        <v>18.0</v>
      </c>
      <c r="G62" s="1" t="str">
        <f t="array" ref="G62">if(ISNUMBER(F62),index(PlayerID!B:B,MATCH(F62,PlayerID!A:A,0)),"")</f>
        <v>Rafael Mattos</v>
      </c>
      <c r="H62" s="1">
        <v>1.0</v>
      </c>
      <c r="I62" s="9" t="str">
        <f t="shared" si="3"/>
        <v>Gol 4 - Rato de dentro da area completa cruzamento/chute de biquinho do Rafa Mattos</v>
      </c>
      <c r="J62" s="9" t="str">
        <f t="array" ref="J62">INDEX(TeamsID!B:B,MATCH(D62,TeamsID!A:A,0))</f>
        <v>Brazukas</v>
      </c>
      <c r="K62" s="10">
        <f t="array" ref="K62">INDEX(GamesId!F:F,MATCH(E62,GamesId!A:A,0))</f>
        <v>45068</v>
      </c>
      <c r="L62" s="9" t="str">
        <f t="array" ref="L62">INDEX(GamesId!J:J,MATCH(E62,GamesId!A:A,0))</f>
        <v>Tues Men's D Spring 23</v>
      </c>
    </row>
    <row r="63">
      <c r="A63" s="1">
        <f t="shared" si="1"/>
        <v>62</v>
      </c>
      <c r="B63" s="1" t="s">
        <v>46</v>
      </c>
      <c r="C63" s="1" t="s">
        <v>47</v>
      </c>
      <c r="D63" s="1">
        <v>2.0</v>
      </c>
      <c r="E63" s="1">
        <v>113.0</v>
      </c>
      <c r="F63" s="1">
        <v>14.0</v>
      </c>
      <c r="G63" s="1" t="str">
        <f t="array" ref="G63">if(ISNUMBER(F63),index(PlayerID!B:B,MATCH(F63,PlayerID!A:A,0)),"")</f>
        <v>Marcelo Mazzafera</v>
      </c>
      <c r="H63" s="1">
        <v>1.0</v>
      </c>
      <c r="I63" s="1" t="s">
        <v>98</v>
      </c>
      <c r="J63" s="9" t="str">
        <f t="array" ref="J63">INDEX(TeamsID!B:B,MATCH(D63,TeamsID!A:A,0))</f>
        <v>RECEBA FC</v>
      </c>
      <c r="K63" s="10">
        <f t="array" ref="K63">INDEX(GamesId!F:F,MATCH(E63,GamesId!A:A,0))</f>
        <v>45064</v>
      </c>
      <c r="L63" s="9" t="str">
        <f t="array" ref="L63">INDEX(GamesId!J:J,MATCH(E63,GamesId!A:A,0))</f>
        <v>Thurs Men's D Spring 23</v>
      </c>
    </row>
    <row r="64">
      <c r="A64" s="1">
        <f t="shared" si="1"/>
        <v>63</v>
      </c>
      <c r="B64" s="1" t="s">
        <v>46</v>
      </c>
      <c r="C64" s="1" t="s">
        <v>47</v>
      </c>
      <c r="D64" s="1">
        <v>2.0</v>
      </c>
      <c r="E64" s="1">
        <v>113.0</v>
      </c>
      <c r="F64" s="1">
        <v>20.0</v>
      </c>
      <c r="G64" s="1" t="str">
        <f t="array" ref="G64">if(ISNUMBER(F64),index(PlayerID!B:B,MATCH(F64,PlayerID!A:A,0)),"")</f>
        <v>Flavio</v>
      </c>
      <c r="H64" s="1">
        <v>1.0</v>
      </c>
      <c r="I64" s="1" t="s">
        <v>99</v>
      </c>
      <c r="J64" s="9" t="str">
        <f t="array" ref="J64">INDEX(TeamsID!B:B,MATCH(D64,TeamsID!A:A,0))</f>
        <v>RECEBA FC</v>
      </c>
      <c r="K64" s="10">
        <f t="array" ref="K64">INDEX(GamesId!F:F,MATCH(E64,GamesId!A:A,0))</f>
        <v>45064</v>
      </c>
      <c r="L64" s="9" t="str">
        <f t="array" ref="L64">INDEX(GamesId!J:J,MATCH(E64,GamesId!A:A,0))</f>
        <v>Thurs Men's D Spring 23</v>
      </c>
    </row>
    <row r="65">
      <c r="A65" s="1">
        <f t="shared" si="1"/>
        <v>64</v>
      </c>
      <c r="B65" s="1" t="s">
        <v>46</v>
      </c>
      <c r="C65" s="1" t="s">
        <v>47</v>
      </c>
      <c r="D65" s="1">
        <v>2.0</v>
      </c>
      <c r="E65" s="1">
        <v>113.0</v>
      </c>
      <c r="F65" s="1">
        <v>14.0</v>
      </c>
      <c r="G65" s="1" t="str">
        <f t="array" ref="G65">if(ISNUMBER(F65),index(PlayerID!B:B,MATCH(F65,PlayerID!A:A,0)),"")</f>
        <v>Marcelo Mazzafera</v>
      </c>
      <c r="H65" s="1">
        <v>1.0</v>
      </c>
      <c r="I65" s="1" t="s">
        <v>100</v>
      </c>
      <c r="J65" s="9" t="str">
        <f t="array" ref="J65">INDEX(TeamsID!B:B,MATCH(D65,TeamsID!A:A,0))</f>
        <v>RECEBA FC</v>
      </c>
      <c r="K65" s="10">
        <f t="array" ref="K65">INDEX(GamesId!F:F,MATCH(E65,GamesId!A:A,0))</f>
        <v>45064</v>
      </c>
      <c r="L65" s="9" t="str">
        <f t="array" ref="L65">INDEX(GamesId!J:J,MATCH(E65,GamesId!A:A,0))</f>
        <v>Thurs Men's D Spring 23</v>
      </c>
    </row>
    <row r="66">
      <c r="A66" s="1">
        <f t="shared" si="1"/>
        <v>65</v>
      </c>
      <c r="B66" s="1" t="s">
        <v>46</v>
      </c>
      <c r="C66" s="1" t="s">
        <v>47</v>
      </c>
      <c r="D66" s="1">
        <v>2.0</v>
      </c>
      <c r="E66" s="1">
        <v>113.0</v>
      </c>
      <c r="F66" s="1">
        <v>8.0</v>
      </c>
      <c r="G66" s="1" t="str">
        <f t="array" ref="G66">if(ISNUMBER(F66),index(PlayerID!B:B,MATCH(F66,PlayerID!A:A,0)),"")</f>
        <v>Cleiton Góes</v>
      </c>
      <c r="H66" s="1">
        <v>1.0</v>
      </c>
      <c r="I66" s="1" t="s">
        <v>101</v>
      </c>
      <c r="J66" s="9" t="str">
        <f t="array" ref="J66">INDEX(TeamsID!B:B,MATCH(D66,TeamsID!A:A,0))</f>
        <v>RECEBA FC</v>
      </c>
      <c r="K66" s="10">
        <f t="array" ref="K66">INDEX(GamesId!F:F,MATCH(E66,GamesId!A:A,0))</f>
        <v>45064</v>
      </c>
      <c r="L66" s="9" t="str">
        <f t="array" ref="L66">INDEX(GamesId!J:J,MATCH(E66,GamesId!A:A,0))</f>
        <v>Thurs Men's D Spring 23</v>
      </c>
    </row>
    <row r="67">
      <c r="A67" s="1">
        <f t="shared" si="1"/>
        <v>66</v>
      </c>
      <c r="B67" s="1" t="s">
        <v>46</v>
      </c>
      <c r="C67" s="1" t="s">
        <v>47</v>
      </c>
      <c r="D67" s="1">
        <v>2.0</v>
      </c>
      <c r="E67" s="1">
        <v>113.0</v>
      </c>
      <c r="F67" s="1">
        <v>6.0</v>
      </c>
      <c r="G67" s="1" t="str">
        <f t="array" ref="G67">if(ISNUMBER(F67),index(PlayerID!B:B,MATCH(F67,PlayerID!A:A,0)),"")</f>
        <v>Ranieri Filho</v>
      </c>
      <c r="H67" s="1">
        <v>1.0</v>
      </c>
      <c r="I67" s="1" t="s">
        <v>102</v>
      </c>
      <c r="J67" s="9" t="str">
        <f t="array" ref="J67">INDEX(TeamsID!B:B,MATCH(D67,TeamsID!A:A,0))</f>
        <v>RECEBA FC</v>
      </c>
      <c r="K67" s="10">
        <f t="array" ref="K67">INDEX(GamesId!F:F,MATCH(E67,GamesId!A:A,0))</f>
        <v>45064</v>
      </c>
      <c r="L67" s="9" t="str">
        <f t="array" ref="L67">INDEX(GamesId!J:J,MATCH(E67,GamesId!A:A,0))</f>
        <v>Thurs Men's D Spring 23</v>
      </c>
    </row>
    <row r="68">
      <c r="A68" s="1">
        <f t="shared" si="1"/>
        <v>67</v>
      </c>
      <c r="B68" s="1" t="s">
        <v>46</v>
      </c>
      <c r="C68" s="1" t="s">
        <v>47</v>
      </c>
      <c r="D68" s="1">
        <v>2.0</v>
      </c>
      <c r="E68" s="1">
        <v>113.0</v>
      </c>
      <c r="F68" s="1">
        <v>14.0</v>
      </c>
      <c r="G68" s="1" t="str">
        <f t="array" ref="G68">if(ISNUMBER(F68),index(PlayerID!B:B,MATCH(F68,PlayerID!A:A,0)),"")</f>
        <v>Marcelo Mazzafera</v>
      </c>
      <c r="H68" s="1">
        <v>1.0</v>
      </c>
      <c r="I68" s="1" t="s">
        <v>103</v>
      </c>
      <c r="J68" s="9" t="str">
        <f t="array" ref="J68">INDEX(TeamsID!B:B,MATCH(D68,TeamsID!A:A,0))</f>
        <v>RECEBA FC</v>
      </c>
      <c r="K68" s="10">
        <f t="array" ref="K68">INDEX(GamesId!F:F,MATCH(E68,GamesId!A:A,0))</f>
        <v>45064</v>
      </c>
      <c r="L68" s="9" t="str">
        <f t="array" ref="L68">INDEX(GamesId!J:J,MATCH(E68,GamesId!A:A,0))</f>
        <v>Thurs Men's D Spring 23</v>
      </c>
    </row>
    <row r="69">
      <c r="A69" s="1">
        <f t="shared" si="1"/>
        <v>68</v>
      </c>
      <c r="B69" s="1" t="s">
        <v>46</v>
      </c>
      <c r="C69" s="1" t="s">
        <v>47</v>
      </c>
      <c r="D69" s="1">
        <v>2.0</v>
      </c>
      <c r="E69" s="1">
        <v>113.0</v>
      </c>
      <c r="F69" s="1">
        <v>11.0</v>
      </c>
      <c r="G69" s="1" t="str">
        <f t="array" ref="G69">if(ISNUMBER(F69),index(PlayerID!B:B,MATCH(F69,PlayerID!A:A,0)),"")</f>
        <v>Pablo Rodrigues</v>
      </c>
      <c r="H69" s="1">
        <v>1.0</v>
      </c>
      <c r="I69" s="1" t="s">
        <v>104</v>
      </c>
      <c r="J69" s="9" t="str">
        <f t="array" ref="J69">INDEX(TeamsID!B:B,MATCH(D69,TeamsID!A:A,0))</f>
        <v>RECEBA FC</v>
      </c>
      <c r="K69" s="10">
        <f t="array" ref="K69">INDEX(GamesId!F:F,MATCH(E69,GamesId!A:A,0))</f>
        <v>45064</v>
      </c>
      <c r="L69" s="9" t="str">
        <f t="array" ref="L69">INDEX(GamesId!J:J,MATCH(E69,GamesId!A:A,0))</f>
        <v>Thurs Men's D Spring 23</v>
      </c>
    </row>
    <row r="70">
      <c r="A70" s="1">
        <f t="shared" si="1"/>
        <v>69</v>
      </c>
      <c r="B70" s="1" t="s">
        <v>46</v>
      </c>
      <c r="C70" s="1" t="s">
        <v>47</v>
      </c>
      <c r="D70" s="1">
        <v>2.0</v>
      </c>
      <c r="E70" s="1">
        <v>113.0</v>
      </c>
      <c r="F70" s="1">
        <v>8.0</v>
      </c>
      <c r="G70" s="1" t="str">
        <f t="array" ref="G70">if(ISNUMBER(F70),index(PlayerID!B:B,MATCH(F70,PlayerID!A:A,0)),"")</f>
        <v>Cleiton Góes</v>
      </c>
      <c r="H70" s="1">
        <v>1.0</v>
      </c>
      <c r="I70" s="1" t="s">
        <v>105</v>
      </c>
      <c r="J70" s="9" t="str">
        <f t="array" ref="J70">INDEX(TeamsID!B:B,MATCH(D70,TeamsID!A:A,0))</f>
        <v>RECEBA FC</v>
      </c>
      <c r="K70" s="10">
        <f t="array" ref="K70">INDEX(GamesId!F:F,MATCH(E70,GamesId!A:A,0))</f>
        <v>45064</v>
      </c>
      <c r="L70" s="9" t="str">
        <f t="array" ref="L70">INDEX(GamesId!J:J,MATCH(E70,GamesId!A:A,0))</f>
        <v>Thurs Men's D Spring 23</v>
      </c>
    </row>
    <row r="71">
      <c r="A71" s="1">
        <f t="shared" si="1"/>
        <v>70</v>
      </c>
      <c r="B71" s="1" t="s">
        <v>46</v>
      </c>
      <c r="C71" s="1" t="s">
        <v>47</v>
      </c>
      <c r="D71" s="1">
        <v>2.0</v>
      </c>
      <c r="E71" s="1">
        <v>113.0</v>
      </c>
      <c r="F71" s="1">
        <v>4.0</v>
      </c>
      <c r="G71" s="1" t="str">
        <f t="array" ref="G71">if(ISNUMBER(F71),index(PlayerID!B:B,MATCH(F71,PlayerID!A:A,0)),"")</f>
        <v>Rafael Franco</v>
      </c>
      <c r="H71" s="1">
        <v>1.0</v>
      </c>
      <c r="I71" s="1" t="s">
        <v>106</v>
      </c>
      <c r="J71" s="9" t="str">
        <f t="array" ref="J71">INDEX(TeamsID!B:B,MATCH(D71,TeamsID!A:A,0))</f>
        <v>RECEBA FC</v>
      </c>
      <c r="K71" s="10">
        <f t="array" ref="K71">INDEX(GamesId!F:F,MATCH(E71,GamesId!A:A,0))</f>
        <v>45064</v>
      </c>
      <c r="L71" s="9" t="str">
        <f t="array" ref="L71">INDEX(GamesId!J:J,MATCH(E71,GamesId!A:A,0))</f>
        <v>Thurs Men's D Spring 23</v>
      </c>
    </row>
    <row r="72">
      <c r="A72" s="1">
        <f t="shared" si="1"/>
        <v>71</v>
      </c>
      <c r="B72" s="1" t="s">
        <v>46</v>
      </c>
      <c r="C72" s="1" t="s">
        <v>47</v>
      </c>
      <c r="D72" s="1">
        <v>2.0</v>
      </c>
      <c r="E72" s="1">
        <v>113.0</v>
      </c>
      <c r="F72" s="1">
        <v>9.0</v>
      </c>
      <c r="G72" s="1" t="str">
        <f t="array" ref="G72">if(ISNUMBER(F72),index(PlayerID!B:B,MATCH(F72,PlayerID!A:A,0)),"")</f>
        <v>Guilherme Kuster</v>
      </c>
      <c r="H72" s="1">
        <v>1.0</v>
      </c>
      <c r="I72" s="1" t="s">
        <v>107</v>
      </c>
      <c r="J72" s="9" t="str">
        <f t="array" ref="J72">INDEX(TeamsID!B:B,MATCH(D72,TeamsID!A:A,0))</f>
        <v>RECEBA FC</v>
      </c>
      <c r="K72" s="10">
        <f t="array" ref="K72">INDEX(GamesId!F:F,MATCH(E72,GamesId!A:A,0))</f>
        <v>45064</v>
      </c>
      <c r="L72" s="9" t="str">
        <f t="array" ref="L72">INDEX(GamesId!J:J,MATCH(E72,GamesId!A:A,0))</f>
        <v>Thurs Men's D Spring 23</v>
      </c>
    </row>
    <row r="73">
      <c r="A73" s="1">
        <f t="shared" si="1"/>
        <v>72</v>
      </c>
      <c r="B73" s="1" t="s">
        <v>46</v>
      </c>
      <c r="C73" s="1" t="s">
        <v>47</v>
      </c>
      <c r="D73" s="1">
        <v>2.0</v>
      </c>
      <c r="E73" s="1">
        <v>113.0</v>
      </c>
      <c r="F73" s="1">
        <v>11.0</v>
      </c>
      <c r="G73" s="1" t="str">
        <f t="array" ref="G73">if(ISNUMBER(F73),index(PlayerID!B:B,MATCH(F73,PlayerID!A:A,0)),"")</f>
        <v>Pablo Rodrigues</v>
      </c>
      <c r="H73" s="1">
        <v>1.0</v>
      </c>
      <c r="I73" s="1" t="s">
        <v>108</v>
      </c>
      <c r="J73" s="9" t="str">
        <f t="array" ref="J73">INDEX(TeamsID!B:B,MATCH(D73,TeamsID!A:A,0))</f>
        <v>RECEBA FC</v>
      </c>
      <c r="K73" s="10">
        <f t="array" ref="K73">INDEX(GamesId!F:F,MATCH(E73,GamesId!A:A,0))</f>
        <v>45064</v>
      </c>
      <c r="L73" s="9" t="str">
        <f t="array" ref="L73">INDEX(GamesId!J:J,MATCH(E73,GamesId!A:A,0))</f>
        <v>Thurs Men's D Spring 23</v>
      </c>
    </row>
    <row r="74">
      <c r="A74" s="1">
        <f t="shared" si="1"/>
        <v>73</v>
      </c>
      <c r="B74" s="1" t="s">
        <v>46</v>
      </c>
      <c r="C74" s="1" t="s">
        <v>47</v>
      </c>
      <c r="D74" s="1">
        <v>2.0</v>
      </c>
      <c r="E74" s="1">
        <v>113.0</v>
      </c>
      <c r="F74" s="1">
        <v>11.0</v>
      </c>
      <c r="G74" s="1" t="str">
        <f t="array" ref="G74">if(ISNUMBER(F74),index(PlayerID!B:B,MATCH(F74,PlayerID!A:A,0)),"")</f>
        <v>Pablo Rodrigues</v>
      </c>
      <c r="H74" s="1">
        <v>1.0</v>
      </c>
      <c r="I74" s="1" t="s">
        <v>109</v>
      </c>
      <c r="J74" s="9" t="str">
        <f t="array" ref="J74">INDEX(TeamsID!B:B,MATCH(D74,TeamsID!A:A,0))</f>
        <v>RECEBA FC</v>
      </c>
      <c r="K74" s="10">
        <f t="array" ref="K74">INDEX(GamesId!F:F,MATCH(E74,GamesId!A:A,0))</f>
        <v>45064</v>
      </c>
      <c r="L74" s="9" t="str">
        <f t="array" ref="L74">INDEX(GamesId!J:J,MATCH(E74,GamesId!A:A,0))</f>
        <v>Thurs Men's D Spring 23</v>
      </c>
    </row>
    <row r="75">
      <c r="A75" s="1">
        <f t="shared" si="1"/>
        <v>74</v>
      </c>
      <c r="B75" s="1" t="s">
        <v>46</v>
      </c>
      <c r="C75" s="1" t="s">
        <v>47</v>
      </c>
      <c r="D75" s="1">
        <v>2.0</v>
      </c>
      <c r="E75" s="1">
        <v>113.0</v>
      </c>
      <c r="F75" s="1">
        <v>20.0</v>
      </c>
      <c r="G75" s="1" t="str">
        <f t="array" ref="G75">if(ISNUMBER(F75),index(PlayerID!B:B,MATCH(F75,PlayerID!A:A,0)),"")</f>
        <v>Flavio</v>
      </c>
      <c r="H75" s="1">
        <v>1.0</v>
      </c>
      <c r="I75" s="1" t="s">
        <v>110</v>
      </c>
      <c r="J75" s="9" t="str">
        <f t="array" ref="J75">INDEX(TeamsID!B:B,MATCH(D75,TeamsID!A:A,0))</f>
        <v>RECEBA FC</v>
      </c>
      <c r="K75" s="10">
        <f t="array" ref="K75">INDEX(GamesId!F:F,MATCH(E75,GamesId!A:A,0))</f>
        <v>45064</v>
      </c>
      <c r="L75" s="9" t="str">
        <f t="array" ref="L75">INDEX(GamesId!J:J,MATCH(E75,GamesId!A:A,0))</f>
        <v>Thurs Men's D Spring 23</v>
      </c>
    </row>
    <row r="76">
      <c r="A76" s="1">
        <f t="shared" si="1"/>
        <v>75</v>
      </c>
      <c r="B76" s="1" t="s">
        <v>46</v>
      </c>
      <c r="C76" s="1" t="s">
        <v>50</v>
      </c>
      <c r="D76" s="1">
        <v>2.0</v>
      </c>
      <c r="E76" s="1">
        <v>113.0</v>
      </c>
      <c r="F76" s="1">
        <v>14.0</v>
      </c>
      <c r="G76" s="1" t="str">
        <f t="array" ref="G76">if(ISNUMBER(F76),index(PlayerID!B:B,MATCH(F76,PlayerID!A:A,0)),"")</f>
        <v>Marcelo Mazzafera</v>
      </c>
      <c r="H76" s="1">
        <v>1.0</v>
      </c>
      <c r="I76" s="9" t="str">
        <f t="shared" ref="I76:I77" si="4">I63</f>
        <v>Gol Mazza Assist Pablo</v>
      </c>
      <c r="J76" s="9" t="str">
        <f t="array" ref="J76">INDEX(TeamsID!B:B,MATCH(D76,TeamsID!A:A,0))</f>
        <v>RECEBA FC</v>
      </c>
      <c r="K76" s="10">
        <f t="array" ref="K76">INDEX(GamesId!F:F,MATCH(E76,GamesId!A:A,0))</f>
        <v>45064</v>
      </c>
      <c r="L76" s="9" t="str">
        <f t="array" ref="L76">INDEX(GamesId!J:J,MATCH(E76,GamesId!A:A,0))</f>
        <v>Thurs Men's D Spring 23</v>
      </c>
    </row>
    <row r="77">
      <c r="A77" s="1">
        <f t="shared" si="1"/>
        <v>76</v>
      </c>
      <c r="B77" s="1" t="s">
        <v>46</v>
      </c>
      <c r="C77" s="1" t="s">
        <v>50</v>
      </c>
      <c r="D77" s="1">
        <v>2.0</v>
      </c>
      <c r="E77" s="1">
        <v>113.0</v>
      </c>
      <c r="F77" s="1">
        <v>9.0</v>
      </c>
      <c r="G77" s="1" t="str">
        <f t="array" ref="G77">if(ISNUMBER(F77),index(PlayerID!B:B,MATCH(F77,PlayerID!A:A,0)),"")</f>
        <v>Guilherme Kuster</v>
      </c>
      <c r="H77" s="1">
        <v>1.0</v>
      </c>
      <c r="I77" s="9" t="str">
        <f t="shared" si="4"/>
        <v>Gol Flavio Assist Kuster</v>
      </c>
      <c r="J77" s="9" t="str">
        <f t="array" ref="J77">INDEX(TeamsID!B:B,MATCH(D77,TeamsID!A:A,0))</f>
        <v>RECEBA FC</v>
      </c>
      <c r="K77" s="10">
        <f t="array" ref="K77">INDEX(GamesId!F:F,MATCH(E77,GamesId!A:A,0))</f>
        <v>45064</v>
      </c>
      <c r="L77" s="9" t="str">
        <f t="array" ref="L77">INDEX(GamesId!J:J,MATCH(E77,GamesId!A:A,0))</f>
        <v>Thurs Men's D Spring 23</v>
      </c>
    </row>
    <row r="78">
      <c r="A78" s="1">
        <f t="shared" si="1"/>
        <v>77</v>
      </c>
      <c r="B78" s="1" t="s">
        <v>46</v>
      </c>
      <c r="C78" s="1" t="s">
        <v>50</v>
      </c>
      <c r="D78" s="1">
        <v>2.0</v>
      </c>
      <c r="E78" s="1">
        <v>113.0</v>
      </c>
      <c r="F78" s="1">
        <v>9.0</v>
      </c>
      <c r="G78" s="1" t="str">
        <f t="array" ref="G78">if(ISNUMBER(F78),index(PlayerID!B:B,MATCH(F78,PlayerID!A:A,0)),"")</f>
        <v>Guilherme Kuster</v>
      </c>
      <c r="H78" s="1">
        <v>1.0</v>
      </c>
      <c r="I78" s="9" t="str">
        <f t="shared" ref="I78:I79" si="5">I66</f>
        <v>Gol Cleiton passe Kuster</v>
      </c>
      <c r="J78" s="9" t="str">
        <f t="array" ref="J78">INDEX(TeamsID!B:B,MATCH(D78,TeamsID!A:A,0))</f>
        <v>RECEBA FC</v>
      </c>
      <c r="K78" s="10">
        <f t="array" ref="K78">INDEX(GamesId!F:F,MATCH(E78,GamesId!A:A,0))</f>
        <v>45064</v>
      </c>
      <c r="L78" s="9" t="str">
        <f t="array" ref="L78">INDEX(GamesId!J:J,MATCH(E78,GamesId!A:A,0))</f>
        <v>Thurs Men's D Spring 23</v>
      </c>
    </row>
    <row r="79">
      <c r="A79" s="1">
        <f t="shared" si="1"/>
        <v>78</v>
      </c>
      <c r="B79" s="1" t="s">
        <v>46</v>
      </c>
      <c r="C79" s="1" t="s">
        <v>50</v>
      </c>
      <c r="D79" s="1">
        <v>2.0</v>
      </c>
      <c r="E79" s="1">
        <v>113.0</v>
      </c>
      <c r="F79" s="1">
        <v>14.0</v>
      </c>
      <c r="G79" s="1" t="str">
        <f t="array" ref="G79">if(ISNUMBER(F79),index(PlayerID!B:B,MATCH(F79,PlayerID!A:A,0)),"")</f>
        <v>Marcelo Mazzafera</v>
      </c>
      <c r="H79" s="1">
        <v>1.0</v>
      </c>
      <c r="I79" s="9" t="str">
        <f t="shared" si="5"/>
        <v>Gol Rani Assist Mazza</v>
      </c>
      <c r="J79" s="9" t="str">
        <f t="array" ref="J79">INDEX(TeamsID!B:B,MATCH(D79,TeamsID!A:A,0))</f>
        <v>RECEBA FC</v>
      </c>
      <c r="K79" s="10">
        <f t="array" ref="K79">INDEX(GamesId!F:F,MATCH(E79,GamesId!A:A,0))</f>
        <v>45064</v>
      </c>
      <c r="L79" s="9" t="str">
        <f t="array" ref="L79">INDEX(GamesId!J:J,MATCH(E79,GamesId!A:A,0))</f>
        <v>Thurs Men's D Spring 23</v>
      </c>
    </row>
    <row r="80">
      <c r="A80" s="1">
        <f t="shared" si="1"/>
        <v>79</v>
      </c>
      <c r="B80" s="1" t="s">
        <v>46</v>
      </c>
      <c r="C80" s="1" t="s">
        <v>50</v>
      </c>
      <c r="D80" s="1">
        <v>2.0</v>
      </c>
      <c r="E80" s="1">
        <v>113.0</v>
      </c>
      <c r="F80" s="1">
        <v>4.0</v>
      </c>
      <c r="G80" s="1" t="str">
        <f t="array" ref="G80">if(ISNUMBER(F80),index(PlayerID!B:B,MATCH(F80,PlayerID!A:A,0)),"")</f>
        <v>Rafael Franco</v>
      </c>
      <c r="H80" s="1">
        <v>1.0</v>
      </c>
      <c r="I80" s="9" t="str">
        <f t="shared" ref="I80:I81" si="6">I69</f>
        <v>Gol Pablo assist rato</v>
      </c>
      <c r="J80" s="9" t="str">
        <f t="array" ref="J80">INDEX(TeamsID!B:B,MATCH(D80,TeamsID!A:A,0))</f>
        <v>RECEBA FC</v>
      </c>
      <c r="K80" s="10">
        <f t="array" ref="K80">INDEX(GamesId!F:F,MATCH(E80,GamesId!A:A,0))</f>
        <v>45064</v>
      </c>
      <c r="L80" s="9" t="str">
        <f t="array" ref="L80">INDEX(GamesId!J:J,MATCH(E80,GamesId!A:A,0))</f>
        <v>Thurs Men's D Spring 23</v>
      </c>
    </row>
    <row r="81">
      <c r="A81" s="1">
        <f t="shared" si="1"/>
        <v>80</v>
      </c>
      <c r="B81" s="1" t="s">
        <v>46</v>
      </c>
      <c r="C81" s="1" t="s">
        <v>50</v>
      </c>
      <c r="D81" s="1">
        <v>2.0</v>
      </c>
      <c r="E81" s="1">
        <v>113.0</v>
      </c>
      <c r="F81" s="1">
        <v>9.0</v>
      </c>
      <c r="G81" s="1" t="str">
        <f t="array" ref="G81">if(ISNUMBER(F81),index(PlayerID!B:B,MATCH(F81,PlayerID!A:A,0)),"")</f>
        <v>Guilherme Kuster</v>
      </c>
      <c r="H81" s="1">
        <v>1.0</v>
      </c>
      <c r="I81" s="9" t="str">
        <f t="shared" si="6"/>
        <v>Gol de letra do Cleito assist Kuster</v>
      </c>
      <c r="J81" s="9" t="str">
        <f t="array" ref="J81">INDEX(TeamsID!B:B,MATCH(D81,TeamsID!A:A,0))</f>
        <v>RECEBA FC</v>
      </c>
      <c r="K81" s="10">
        <f t="array" ref="K81">INDEX(GamesId!F:F,MATCH(E81,GamesId!A:A,0))</f>
        <v>45064</v>
      </c>
      <c r="L81" s="9" t="str">
        <f t="array" ref="L81">INDEX(GamesId!J:J,MATCH(E81,GamesId!A:A,0))</f>
        <v>Thurs Men's D Spring 23</v>
      </c>
    </row>
    <row r="82">
      <c r="A82" s="1">
        <f t="shared" si="1"/>
        <v>81</v>
      </c>
      <c r="B82" s="1" t="s">
        <v>46</v>
      </c>
      <c r="C82" s="1" t="s">
        <v>50</v>
      </c>
      <c r="D82" s="1">
        <v>2.0</v>
      </c>
      <c r="E82" s="1">
        <v>113.0</v>
      </c>
      <c r="F82" s="1">
        <v>8.0</v>
      </c>
      <c r="G82" s="1" t="str">
        <f t="array" ref="G82">if(ISNUMBER(F82),index(PlayerID!B:B,MATCH(F82,PlayerID!A:A,0)),"")</f>
        <v>Cleiton Góes</v>
      </c>
      <c r="H82" s="1">
        <v>1.0</v>
      </c>
      <c r="I82" s="9" t="str">
        <f>I72</f>
        <v>Gol Kuster Assist Cleiton</v>
      </c>
      <c r="J82" s="9" t="str">
        <f t="array" ref="J82">INDEX(TeamsID!B:B,MATCH(D82,TeamsID!A:A,0))</f>
        <v>RECEBA FC</v>
      </c>
      <c r="K82" s="10">
        <f t="array" ref="K82">INDEX(GamesId!F:F,MATCH(E82,GamesId!A:A,0))</f>
        <v>45064</v>
      </c>
      <c r="L82" s="9" t="str">
        <f t="array" ref="L82">INDEX(GamesId!J:J,MATCH(E82,GamesId!A:A,0))</f>
        <v>Thurs Men's D Spring 23</v>
      </c>
    </row>
    <row r="83">
      <c r="A83" s="1">
        <f t="shared" si="1"/>
        <v>82</v>
      </c>
      <c r="B83" s="1" t="s">
        <v>46</v>
      </c>
      <c r="C83" s="1" t="s">
        <v>47</v>
      </c>
      <c r="D83" s="1">
        <v>1.0</v>
      </c>
      <c r="E83" s="1">
        <v>90.0</v>
      </c>
      <c r="F83" s="1">
        <v>9.0</v>
      </c>
      <c r="G83" s="1" t="str">
        <f t="array" ref="G83">if(ISNUMBER(F83),index(PlayerID!B:B,MATCH(F83,PlayerID!A:A,0)),"")</f>
        <v>Guilherme Kuster</v>
      </c>
      <c r="H83" s="1">
        <v>1.0</v>
      </c>
      <c r="I83" s="1" t="s">
        <v>111</v>
      </c>
      <c r="J83" s="9" t="str">
        <f t="array" ref="J83">INDEX(TeamsID!B:B,MATCH(D83,TeamsID!A:A,0))</f>
        <v>Brazukas</v>
      </c>
      <c r="K83" s="10">
        <f t="array" ref="K83">INDEX(GamesId!F:F,MATCH(E83,GamesId!A:A,0))</f>
        <v>45062</v>
      </c>
      <c r="L83" s="9" t="str">
        <f t="array" ref="L83">INDEX(GamesId!J:J,MATCH(E83,GamesId!A:A,0))</f>
        <v>Tues Men's D Spring 23</v>
      </c>
    </row>
    <row r="84">
      <c r="A84" s="1">
        <f t="shared" si="1"/>
        <v>83</v>
      </c>
      <c r="B84" s="1" t="s">
        <v>46</v>
      </c>
      <c r="C84" s="1" t="s">
        <v>47</v>
      </c>
      <c r="D84" s="1">
        <v>1.0</v>
      </c>
      <c r="E84" s="1">
        <v>90.0</v>
      </c>
      <c r="F84" s="1">
        <v>18.0</v>
      </c>
      <c r="G84" s="1" t="str">
        <f t="array" ref="G84">if(ISNUMBER(F84),index(PlayerID!B:B,MATCH(F84,PlayerID!A:A,0)),"")</f>
        <v>Rafael Mattos</v>
      </c>
      <c r="H84" s="1">
        <v>1.0</v>
      </c>
      <c r="I84" s="1" t="s">
        <v>112</v>
      </c>
      <c r="J84" s="9" t="str">
        <f t="array" ref="J84">INDEX(TeamsID!B:B,MATCH(D84,TeamsID!A:A,0))</f>
        <v>Brazukas</v>
      </c>
      <c r="K84" s="10">
        <f t="array" ref="K84">INDEX(GamesId!F:F,MATCH(E84,GamesId!A:A,0))</f>
        <v>45062</v>
      </c>
      <c r="L84" s="9" t="str">
        <f t="array" ref="L84">INDEX(GamesId!J:J,MATCH(E84,GamesId!A:A,0))</f>
        <v>Tues Men's D Spring 23</v>
      </c>
    </row>
    <row r="85">
      <c r="A85" s="1">
        <f t="shared" si="1"/>
        <v>84</v>
      </c>
      <c r="B85" s="1" t="s">
        <v>46</v>
      </c>
      <c r="C85" s="1" t="s">
        <v>47</v>
      </c>
      <c r="D85" s="1">
        <v>1.0</v>
      </c>
      <c r="E85" s="1">
        <v>90.0</v>
      </c>
      <c r="F85" s="1">
        <v>15.0</v>
      </c>
      <c r="G85" s="1" t="str">
        <f t="array" ref="G85">if(ISNUMBER(F85),index(PlayerID!B:B,MATCH(F85,PlayerID!A:A,0)),"")</f>
        <v>Gustavo Bitencourt</v>
      </c>
      <c r="H85" s="1">
        <v>1.0</v>
      </c>
      <c r="I85" s="1" t="s">
        <v>113</v>
      </c>
      <c r="J85" s="9" t="str">
        <f t="array" ref="J85">INDEX(TeamsID!B:B,MATCH(D85,TeamsID!A:A,0))</f>
        <v>Brazukas</v>
      </c>
      <c r="K85" s="10">
        <f t="array" ref="K85">INDEX(GamesId!F:F,MATCH(E85,GamesId!A:A,0))</f>
        <v>45062</v>
      </c>
      <c r="L85" s="9" t="str">
        <f t="array" ref="L85">INDEX(GamesId!J:J,MATCH(E85,GamesId!A:A,0))</f>
        <v>Tues Men's D Spring 23</v>
      </c>
    </row>
    <row r="86">
      <c r="A86" s="1">
        <f t="shared" si="1"/>
        <v>85</v>
      </c>
      <c r="B86" s="1" t="s">
        <v>46</v>
      </c>
      <c r="C86" s="1" t="s">
        <v>47</v>
      </c>
      <c r="D86" s="1">
        <v>1.0</v>
      </c>
      <c r="E86" s="1">
        <v>90.0</v>
      </c>
      <c r="F86" s="1">
        <v>16.0</v>
      </c>
      <c r="G86" s="1" t="str">
        <f t="array" ref="G86">if(ISNUMBER(F86),index(PlayerID!B:B,MATCH(F86,PlayerID!A:A,0)),"")</f>
        <v>Tamir Guy</v>
      </c>
      <c r="H86" s="1">
        <v>1.0</v>
      </c>
      <c r="I86" s="1" t="s">
        <v>114</v>
      </c>
      <c r="J86" s="9" t="str">
        <f t="array" ref="J86">INDEX(TeamsID!B:B,MATCH(D86,TeamsID!A:A,0))</f>
        <v>Brazukas</v>
      </c>
      <c r="K86" s="10">
        <f t="array" ref="K86">INDEX(GamesId!F:F,MATCH(E86,GamesId!A:A,0))</f>
        <v>45062</v>
      </c>
      <c r="L86" s="9" t="str">
        <f t="array" ref="L86">INDEX(GamesId!J:J,MATCH(E86,GamesId!A:A,0))</f>
        <v>Tues Men's D Spring 23</v>
      </c>
    </row>
    <row r="87">
      <c r="A87" s="1">
        <f t="shared" si="1"/>
        <v>86</v>
      </c>
      <c r="B87" s="1" t="s">
        <v>46</v>
      </c>
      <c r="C87" s="1" t="s">
        <v>47</v>
      </c>
      <c r="D87" s="1">
        <v>1.0</v>
      </c>
      <c r="E87" s="1">
        <v>90.0</v>
      </c>
      <c r="F87" s="1">
        <v>6.0</v>
      </c>
      <c r="G87" s="1" t="str">
        <f t="array" ref="G87">if(ISNUMBER(F87),index(PlayerID!B:B,MATCH(F87,PlayerID!A:A,0)),"")</f>
        <v>Ranieri Filho</v>
      </c>
      <c r="H87" s="1">
        <v>1.0</v>
      </c>
      <c r="I87" s="1" t="s">
        <v>115</v>
      </c>
      <c r="J87" s="9" t="str">
        <f t="array" ref="J87">INDEX(TeamsID!B:B,MATCH(D87,TeamsID!A:A,0))</f>
        <v>Brazukas</v>
      </c>
      <c r="K87" s="10">
        <f t="array" ref="K87">INDEX(GamesId!F:F,MATCH(E87,GamesId!A:A,0))</f>
        <v>45062</v>
      </c>
      <c r="L87" s="9" t="str">
        <f t="array" ref="L87">INDEX(GamesId!J:J,MATCH(E87,GamesId!A:A,0))</f>
        <v>Tues Men's D Spring 23</v>
      </c>
    </row>
    <row r="88">
      <c r="A88" s="1">
        <f t="shared" si="1"/>
        <v>87</v>
      </c>
      <c r="B88" s="1" t="s">
        <v>46</v>
      </c>
      <c r="C88" s="1" t="s">
        <v>47</v>
      </c>
      <c r="D88" s="1">
        <v>1.0</v>
      </c>
      <c r="E88" s="1">
        <v>90.0</v>
      </c>
      <c r="F88" s="1">
        <v>7.0</v>
      </c>
      <c r="G88" s="1" t="str">
        <f t="array" ref="G88">if(ISNUMBER(F88),index(PlayerID!B:B,MATCH(F88,PlayerID!A:A,0)),"")</f>
        <v>Sergio Filho</v>
      </c>
      <c r="H88" s="1">
        <v>1.0</v>
      </c>
      <c r="I88" s="1" t="s">
        <v>116</v>
      </c>
      <c r="J88" s="9" t="str">
        <f t="array" ref="J88">INDEX(TeamsID!B:B,MATCH(D88,TeamsID!A:A,0))</f>
        <v>Brazukas</v>
      </c>
      <c r="K88" s="10">
        <f t="array" ref="K88">INDEX(GamesId!F:F,MATCH(E88,GamesId!A:A,0))</f>
        <v>45062</v>
      </c>
      <c r="L88" s="9" t="str">
        <f t="array" ref="L88">INDEX(GamesId!J:J,MATCH(E88,GamesId!A:A,0))</f>
        <v>Tues Men's D Spring 23</v>
      </c>
    </row>
    <row r="89">
      <c r="A89" s="1">
        <f t="shared" si="1"/>
        <v>88</v>
      </c>
      <c r="B89" s="1" t="s">
        <v>46</v>
      </c>
      <c r="C89" s="1" t="s">
        <v>50</v>
      </c>
      <c r="D89" s="1">
        <v>1.0</v>
      </c>
      <c r="E89" s="1">
        <v>90.0</v>
      </c>
      <c r="F89" s="1">
        <v>9.0</v>
      </c>
      <c r="G89" s="1" t="str">
        <f t="array" ref="G89">if(ISNUMBER(F89),index(PlayerID!B:B,MATCH(F89,PlayerID!A:A,0)),"")</f>
        <v>Guilherme Kuster</v>
      </c>
      <c r="H89" s="1">
        <v>1.0</v>
      </c>
      <c r="I89" s="1" t="s">
        <v>117</v>
      </c>
      <c r="J89" s="9" t="str">
        <f t="array" ref="J89">INDEX(TeamsID!B:B,MATCH(D89,TeamsID!A:A,0))</f>
        <v>Brazukas</v>
      </c>
      <c r="K89" s="10">
        <f t="array" ref="K89">INDEX(GamesId!F:F,MATCH(E89,GamesId!A:A,0))</f>
        <v>45062</v>
      </c>
      <c r="L89" s="9" t="str">
        <f t="array" ref="L89">INDEX(GamesId!J:J,MATCH(E89,GamesId!A:A,0))</f>
        <v>Tues Men's D Spring 23</v>
      </c>
    </row>
    <row r="90">
      <c r="A90" s="1">
        <f t="shared" si="1"/>
        <v>89</v>
      </c>
      <c r="B90" s="1" t="s">
        <v>46</v>
      </c>
      <c r="C90" s="1" t="s">
        <v>50</v>
      </c>
      <c r="D90" s="1">
        <v>1.0</v>
      </c>
      <c r="E90" s="1">
        <v>90.0</v>
      </c>
      <c r="F90" s="1">
        <v>4.0</v>
      </c>
      <c r="G90" s="1" t="str">
        <f t="array" ref="G90">if(ISNUMBER(F90),index(PlayerID!B:B,MATCH(F90,PlayerID!A:A,0)),"")</f>
        <v>Rafael Franco</v>
      </c>
      <c r="H90" s="1">
        <v>1.0</v>
      </c>
      <c r="I90" s="1" t="s">
        <v>117</v>
      </c>
      <c r="J90" s="9" t="str">
        <f t="array" ref="J90">INDEX(TeamsID!B:B,MATCH(D90,TeamsID!A:A,0))</f>
        <v>Brazukas</v>
      </c>
      <c r="K90" s="10">
        <f t="array" ref="K90">INDEX(GamesId!F:F,MATCH(E90,GamesId!A:A,0))</f>
        <v>45062</v>
      </c>
      <c r="L90" s="9" t="str">
        <f t="array" ref="L90">INDEX(GamesId!J:J,MATCH(E90,GamesId!A:A,0))</f>
        <v>Tues Men's D Spring 23</v>
      </c>
    </row>
    <row r="91">
      <c r="A91" s="1">
        <f t="shared" si="1"/>
        <v>90</v>
      </c>
      <c r="B91" s="1" t="s">
        <v>46</v>
      </c>
      <c r="C91" s="1" t="s">
        <v>50</v>
      </c>
      <c r="D91" s="1">
        <v>1.0</v>
      </c>
      <c r="E91" s="1">
        <v>90.0</v>
      </c>
      <c r="F91" s="1">
        <v>9.0</v>
      </c>
      <c r="G91" s="1" t="str">
        <f t="array" ref="G91">if(ISNUMBER(F91),index(PlayerID!B:B,MATCH(F91,PlayerID!A:A,0)),"")</f>
        <v>Guilherme Kuster</v>
      </c>
      <c r="H91" s="1">
        <v>1.0</v>
      </c>
      <c r="I91" s="1" t="s">
        <v>117</v>
      </c>
      <c r="J91" s="9" t="str">
        <f t="array" ref="J91">INDEX(TeamsID!B:B,MATCH(D91,TeamsID!A:A,0))</f>
        <v>Brazukas</v>
      </c>
      <c r="K91" s="10">
        <f t="array" ref="K91">INDEX(GamesId!F:F,MATCH(E91,GamesId!A:A,0))</f>
        <v>45062</v>
      </c>
      <c r="L91" s="9" t="str">
        <f t="array" ref="L91">INDEX(GamesId!J:J,MATCH(E91,GamesId!A:A,0))</f>
        <v>Tues Men's D Spring 23</v>
      </c>
    </row>
    <row r="92">
      <c r="A92" s="1">
        <f t="shared" si="1"/>
        <v>91</v>
      </c>
      <c r="B92" s="1" t="s">
        <v>46</v>
      </c>
      <c r="C92" s="1" t="s">
        <v>50</v>
      </c>
      <c r="D92" s="1">
        <v>1.0</v>
      </c>
      <c r="E92" s="1">
        <v>90.0</v>
      </c>
      <c r="F92" s="1">
        <v>15.0</v>
      </c>
      <c r="G92" s="1" t="str">
        <f t="array" ref="G92">if(ISNUMBER(F92),index(PlayerID!B:B,MATCH(F92,PlayerID!A:A,0)),"")</f>
        <v>Gustavo Bitencourt</v>
      </c>
      <c r="H92" s="1">
        <v>1.0</v>
      </c>
      <c r="I92" s="1" t="s">
        <v>117</v>
      </c>
      <c r="J92" s="9" t="str">
        <f t="array" ref="J92">INDEX(TeamsID!B:B,MATCH(D92,TeamsID!A:A,0))</f>
        <v>Brazukas</v>
      </c>
      <c r="K92" s="10">
        <f t="array" ref="K92">INDEX(GamesId!F:F,MATCH(E92,GamesId!A:A,0))</f>
        <v>45062</v>
      </c>
      <c r="L92" s="9" t="str">
        <f t="array" ref="L92">INDEX(GamesId!J:J,MATCH(E92,GamesId!A:A,0))</f>
        <v>Tues Men's D Spring 23</v>
      </c>
    </row>
    <row r="93">
      <c r="A93" s="1">
        <f t="shared" si="1"/>
        <v>92</v>
      </c>
      <c r="B93" s="1" t="s">
        <v>46</v>
      </c>
      <c r="C93" s="1" t="s">
        <v>50</v>
      </c>
      <c r="D93" s="1">
        <v>1.0</v>
      </c>
      <c r="E93" s="1">
        <v>90.0</v>
      </c>
      <c r="F93" s="1">
        <v>9.0</v>
      </c>
      <c r="G93" s="1" t="str">
        <f t="array" ref="G93">if(ISNUMBER(F93),index(PlayerID!B:B,MATCH(F93,PlayerID!A:A,0)),"")</f>
        <v>Guilherme Kuster</v>
      </c>
      <c r="H93" s="1">
        <v>1.0</v>
      </c>
      <c r="I93" s="1" t="s">
        <v>117</v>
      </c>
      <c r="J93" s="9" t="str">
        <f t="array" ref="J93">INDEX(TeamsID!B:B,MATCH(D93,TeamsID!A:A,0))</f>
        <v>Brazukas</v>
      </c>
      <c r="K93" s="10">
        <f t="array" ref="K93">INDEX(GamesId!F:F,MATCH(E93,GamesId!A:A,0))</f>
        <v>45062</v>
      </c>
      <c r="L93" s="9" t="str">
        <f t="array" ref="L93">INDEX(GamesId!J:J,MATCH(E93,GamesId!A:A,0))</f>
        <v>Tues Men's D Spring 23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25"/>
    <col customWidth="1" min="4" max="4" width="18.63"/>
    <col customWidth="1" min="8" max="10" width="20.25"/>
    <col customWidth="1" min="13" max="13" width="13.13"/>
  </cols>
  <sheetData>
    <row r="1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44</v>
      </c>
      <c r="G1" s="1" t="s">
        <v>123</v>
      </c>
      <c r="H1" s="1" t="s">
        <v>124</v>
      </c>
      <c r="I1" s="1" t="s">
        <v>125</v>
      </c>
      <c r="J1" s="1" t="s">
        <v>126</v>
      </c>
      <c r="K1" s="1" t="s">
        <v>127</v>
      </c>
      <c r="L1" s="1" t="s">
        <v>128</v>
      </c>
      <c r="M1" s="1" t="s">
        <v>129</v>
      </c>
    </row>
    <row r="2">
      <c r="A2" s="1">
        <v>1.0</v>
      </c>
      <c r="B2" s="1" t="str">
        <f t="array" ref="B2">INDEX(TeamsID!B:B,MATCH(K2,TeamsID!A:A,0))</f>
        <v>Brazukas</v>
      </c>
      <c r="C2" s="1">
        <v>4.0</v>
      </c>
      <c r="D2" s="1" t="str">
        <f t="array" ref="D2">INDEX(TeamsID!B:B,MATCH(L2,TeamsID!A:A,0))</f>
        <v>BB 2.0</v>
      </c>
      <c r="E2" s="1">
        <v>2.0</v>
      </c>
      <c r="F2" s="15">
        <v>44383.0</v>
      </c>
      <c r="G2" s="16">
        <v>0.4236111111111111</v>
      </c>
      <c r="H2" s="1" t="s">
        <v>130</v>
      </c>
      <c r="I2" s="1"/>
      <c r="J2" s="1" t="s">
        <v>131</v>
      </c>
      <c r="K2" s="9">
        <v>1.0</v>
      </c>
      <c r="L2" s="9">
        <v>34.0</v>
      </c>
      <c r="M2" s="9" t="str">
        <f t="shared" ref="M2:M123" si="1">IF(C2&gt;E2,"WIN",if(C2&lt;E2,"DEFEAT","TIE"))</f>
        <v>WIN</v>
      </c>
    </row>
    <row r="3">
      <c r="A3" s="9">
        <f t="shared" ref="A3:A73" si="2">A2+1</f>
        <v>2</v>
      </c>
      <c r="B3" s="1" t="str">
        <f t="array" ref="B3">INDEX(TeamsID!B:B,MATCH(K3,TeamsID!A:A,0))</f>
        <v>Immune to Defense</v>
      </c>
      <c r="C3" s="1">
        <v>4.0</v>
      </c>
      <c r="D3" s="1" t="str">
        <f t="array" ref="D3">INDEX(TeamsID!B:B,MATCH(L3,TeamsID!A:A,0))</f>
        <v>Brazukas</v>
      </c>
      <c r="E3" s="1">
        <v>1.0</v>
      </c>
      <c r="F3" s="15">
        <f>F2+7</f>
        <v>44390</v>
      </c>
      <c r="G3" s="16">
        <v>0.3888888888888889</v>
      </c>
      <c r="H3" s="1" t="s">
        <v>130</v>
      </c>
      <c r="I3" s="1"/>
      <c r="J3" s="1" t="s">
        <v>131</v>
      </c>
      <c r="K3" s="9">
        <v>3.0</v>
      </c>
      <c r="L3" s="9">
        <v>1.0</v>
      </c>
      <c r="M3" s="9" t="str">
        <f t="shared" si="1"/>
        <v>WIN</v>
      </c>
    </row>
    <row r="4">
      <c r="A4" s="9">
        <f t="shared" si="2"/>
        <v>3</v>
      </c>
      <c r="B4" s="1" t="str">
        <f t="array" ref="B4">INDEX(TeamsID!B:B,MATCH(K4,TeamsID!A:A,0))</f>
        <v>Brazukas</v>
      </c>
      <c r="C4" s="1">
        <v>1.0</v>
      </c>
      <c r="D4" s="1" t="str">
        <f t="array" ref="D4">INDEX(TeamsID!B:B,MATCH(L4,TeamsID!A:A,0))</f>
        <v>Seattle Sperm Bank</v>
      </c>
      <c r="E4" s="1">
        <v>2.0</v>
      </c>
      <c r="F4" s="15">
        <v>44398.0</v>
      </c>
      <c r="G4" s="16">
        <v>0.3298611111111111</v>
      </c>
      <c r="H4" s="1" t="s">
        <v>130</v>
      </c>
      <c r="I4" s="1"/>
      <c r="J4" s="1" t="s">
        <v>131</v>
      </c>
      <c r="K4" s="9">
        <v>1.0</v>
      </c>
      <c r="L4" s="9">
        <v>35.0</v>
      </c>
      <c r="M4" s="9" t="str">
        <f t="shared" si="1"/>
        <v>DEFEAT</v>
      </c>
    </row>
    <row r="5">
      <c r="A5" s="9">
        <f t="shared" si="2"/>
        <v>4</v>
      </c>
      <c r="B5" s="1" t="str">
        <f t="array" ref="B5">INDEX(TeamsID!B:B,MATCH(K5,TeamsID!A:A,0))</f>
        <v>Husar</v>
      </c>
      <c r="C5" s="1">
        <v>3.0</v>
      </c>
      <c r="D5" s="1" t="str">
        <f t="array" ref="D5">INDEX(TeamsID!B:B,MATCH(L5,TeamsID!A:A,0))</f>
        <v>Brazukas</v>
      </c>
      <c r="E5" s="1">
        <v>4.0</v>
      </c>
      <c r="F5" s="15">
        <v>44404.0</v>
      </c>
      <c r="G5" s="16">
        <v>0.3159722222222222</v>
      </c>
      <c r="H5" s="1" t="s">
        <v>130</v>
      </c>
      <c r="I5" s="1"/>
      <c r="J5" s="1" t="s">
        <v>131</v>
      </c>
      <c r="K5" s="9">
        <v>4.0</v>
      </c>
      <c r="L5" s="9">
        <v>1.0</v>
      </c>
      <c r="M5" s="9" t="str">
        <f t="shared" si="1"/>
        <v>DEFEAT</v>
      </c>
    </row>
    <row r="6">
      <c r="A6" s="9">
        <f t="shared" si="2"/>
        <v>5</v>
      </c>
      <c r="B6" s="1" t="str">
        <f t="array" ref="B6">INDEX(TeamsID!B:B,MATCH(K6,TeamsID!A:A,0))</f>
        <v>Brazukas</v>
      </c>
      <c r="C6" s="1">
        <v>8.0</v>
      </c>
      <c r="D6" s="1" t="str">
        <f t="array" ref="D6">INDEX(TeamsID!B:B,MATCH(L6,TeamsID!A:A,0))</f>
        <v>LivePerson</v>
      </c>
      <c r="E6" s="1">
        <v>4.0</v>
      </c>
      <c r="F6" s="15">
        <f>F5+7</f>
        <v>44411</v>
      </c>
      <c r="G6" s="16">
        <v>0.3125</v>
      </c>
      <c r="H6" s="1" t="s">
        <v>130</v>
      </c>
      <c r="I6" s="1"/>
      <c r="J6" s="1" t="s">
        <v>131</v>
      </c>
      <c r="K6" s="9">
        <v>1.0</v>
      </c>
      <c r="L6" s="9">
        <v>36.0</v>
      </c>
      <c r="M6" s="9" t="str">
        <f t="shared" si="1"/>
        <v>WIN</v>
      </c>
    </row>
    <row r="7">
      <c r="A7" s="9">
        <f t="shared" si="2"/>
        <v>6</v>
      </c>
      <c r="B7" s="1" t="str">
        <f t="array" ref="B7">INDEX(TeamsID!B:B,MATCH(K7,TeamsID!A:A,0))</f>
        <v>Brazukas</v>
      </c>
      <c r="C7" s="1">
        <v>4.0</v>
      </c>
      <c r="D7" s="1" t="str">
        <f t="array" ref="D7">INDEX(TeamsID!B:B,MATCH(L7,TeamsID!A:A,0))</f>
        <v>Un Real</v>
      </c>
      <c r="E7" s="1">
        <v>4.0</v>
      </c>
      <c r="F7" s="15">
        <v>44419.0</v>
      </c>
      <c r="G7" s="16">
        <v>0.2569444444444444</v>
      </c>
      <c r="H7" s="1" t="s">
        <v>130</v>
      </c>
      <c r="I7" s="1"/>
      <c r="J7" s="1" t="s">
        <v>131</v>
      </c>
      <c r="K7" s="9">
        <v>1.0</v>
      </c>
      <c r="L7" s="9">
        <v>17.0</v>
      </c>
      <c r="M7" s="9" t="str">
        <f t="shared" si="1"/>
        <v>TIE</v>
      </c>
    </row>
    <row r="8">
      <c r="A8" s="9">
        <f t="shared" si="2"/>
        <v>7</v>
      </c>
      <c r="B8" s="1" t="str">
        <f t="array" ref="B8">INDEX(TeamsID!B:B,MATCH(K8,TeamsID!A:A,0))</f>
        <v>Brazukas</v>
      </c>
      <c r="C8" s="1">
        <v>7.0</v>
      </c>
      <c r="D8" s="1" t="str">
        <f t="array" ref="D8">INDEX(TeamsID!B:B,MATCH(L8,TeamsID!A:A,0))</f>
        <v>Blue Horseshoes</v>
      </c>
      <c r="E8" s="1">
        <v>4.0</v>
      </c>
      <c r="F8" s="15">
        <v>44425.0</v>
      </c>
      <c r="H8" s="1" t="s">
        <v>130</v>
      </c>
      <c r="I8" s="1"/>
      <c r="J8" s="1" t="s">
        <v>132</v>
      </c>
      <c r="K8" s="9">
        <v>1.0</v>
      </c>
      <c r="L8" s="9">
        <v>37.0</v>
      </c>
      <c r="M8" s="9" t="str">
        <f t="shared" si="1"/>
        <v>WIN</v>
      </c>
    </row>
    <row r="9">
      <c r="A9" s="9">
        <f t="shared" si="2"/>
        <v>8</v>
      </c>
      <c r="B9" s="1" t="str">
        <f t="array" ref="B9">INDEX(TeamsID!B:B,MATCH(K9,TeamsID!A:A,0))</f>
        <v>Brazukas</v>
      </c>
      <c r="C9" s="1">
        <v>3.0</v>
      </c>
      <c r="D9" s="1" t="str">
        <f t="array" ref="D9">INDEX(TeamsID!B:B,MATCH(L9,TeamsID!A:A,0))</f>
        <v>Magma</v>
      </c>
      <c r="E9" s="1">
        <v>3.0</v>
      </c>
      <c r="F9" s="15">
        <v>44432.0</v>
      </c>
      <c r="H9" s="1" t="s">
        <v>130</v>
      </c>
      <c r="I9" s="1"/>
      <c r="J9" s="1" t="s">
        <v>132</v>
      </c>
      <c r="K9" s="9">
        <v>1.0</v>
      </c>
      <c r="L9" s="9">
        <v>12.0</v>
      </c>
      <c r="M9" s="9" t="str">
        <f t="shared" si="1"/>
        <v>TIE</v>
      </c>
    </row>
    <row r="10">
      <c r="A10" s="9">
        <f t="shared" si="2"/>
        <v>9</v>
      </c>
      <c r="B10" s="1" t="str">
        <f t="array" ref="B10">INDEX(TeamsID!B:B,MATCH(K10,TeamsID!A:A,0))</f>
        <v>Husar</v>
      </c>
      <c r="C10" s="1">
        <v>7.0</v>
      </c>
      <c r="D10" s="1" t="str">
        <f t="array" ref="D10">INDEX(TeamsID!B:B,MATCH(L10,TeamsID!A:A,0))</f>
        <v>Brazukas</v>
      </c>
      <c r="E10" s="1">
        <v>1.0</v>
      </c>
      <c r="F10" s="15">
        <v>44439.0</v>
      </c>
      <c r="H10" s="1" t="s">
        <v>130</v>
      </c>
      <c r="I10" s="1"/>
      <c r="J10" s="1" t="s">
        <v>132</v>
      </c>
      <c r="K10" s="9">
        <v>4.0</v>
      </c>
      <c r="L10" s="9">
        <v>1.0</v>
      </c>
      <c r="M10" s="9" t="str">
        <f t="shared" si="1"/>
        <v>WIN</v>
      </c>
    </row>
    <row r="11">
      <c r="A11" s="9">
        <f t="shared" si="2"/>
        <v>10</v>
      </c>
      <c r="B11" s="1" t="str">
        <f t="array" ref="B11">INDEX(TeamsID!B:B,MATCH(K11,TeamsID!A:A,0))</f>
        <v>Blackfoot Ballers</v>
      </c>
      <c r="C11" s="1">
        <v>7.0</v>
      </c>
      <c r="D11" s="1" t="str">
        <f t="array" ref="D11">INDEX(TeamsID!B:B,MATCH(L11,TeamsID!A:A,0))</f>
        <v>Brazukas</v>
      </c>
      <c r="E11" s="1">
        <v>3.0</v>
      </c>
      <c r="F11" s="15">
        <v>44446.0</v>
      </c>
      <c r="H11" s="1" t="s">
        <v>130</v>
      </c>
      <c r="I11" s="1"/>
      <c r="J11" s="1" t="s">
        <v>132</v>
      </c>
      <c r="K11" s="9">
        <v>5.0</v>
      </c>
      <c r="L11" s="9">
        <v>1.0</v>
      </c>
      <c r="M11" s="9" t="str">
        <f t="shared" si="1"/>
        <v>WIN</v>
      </c>
    </row>
    <row r="12">
      <c r="A12" s="9">
        <f t="shared" si="2"/>
        <v>11</v>
      </c>
      <c r="B12" s="1" t="str">
        <f t="array" ref="B12">INDEX(TeamsID!B:B,MATCH(K12,TeamsID!A:A,0))</f>
        <v>Brazukas</v>
      </c>
      <c r="C12" s="1">
        <v>4.0</v>
      </c>
      <c r="D12" s="1" t="str">
        <f t="array" ref="D12">INDEX(TeamsID!B:B,MATCH(L12,TeamsID!A:A,0))</f>
        <v>FC Twente One</v>
      </c>
      <c r="E12" s="1">
        <v>3.0</v>
      </c>
      <c r="F12" s="15">
        <v>44453.0</v>
      </c>
      <c r="H12" s="1" t="s">
        <v>130</v>
      </c>
      <c r="I12" s="1"/>
      <c r="J12" s="1" t="s">
        <v>132</v>
      </c>
      <c r="K12" s="9">
        <v>1.0</v>
      </c>
      <c r="L12" s="9">
        <v>10.0</v>
      </c>
      <c r="M12" s="9" t="str">
        <f t="shared" si="1"/>
        <v>WIN</v>
      </c>
    </row>
    <row r="13">
      <c r="A13" s="9">
        <f t="shared" si="2"/>
        <v>12</v>
      </c>
      <c r="B13" s="1" t="str">
        <f t="array" ref="B13">INDEX(TeamsID!B:B,MATCH(K13,TeamsID!A:A,0))</f>
        <v>KOMPAS</v>
      </c>
      <c r="C13" s="1">
        <v>3.0</v>
      </c>
      <c r="D13" s="1" t="str">
        <f t="array" ref="D13">INDEX(TeamsID!B:B,MATCH(L13,TeamsID!A:A,0))</f>
        <v>Brazukas</v>
      </c>
      <c r="E13" s="1">
        <v>4.0</v>
      </c>
      <c r="F13" s="15">
        <v>44460.0</v>
      </c>
      <c r="H13" s="1" t="s">
        <v>130</v>
      </c>
      <c r="I13" s="1"/>
      <c r="J13" s="1" t="s">
        <v>132</v>
      </c>
      <c r="K13" s="9">
        <v>6.0</v>
      </c>
      <c r="L13" s="9">
        <v>1.0</v>
      </c>
      <c r="M13" s="9" t="str">
        <f t="shared" si="1"/>
        <v>DEFEAT</v>
      </c>
    </row>
    <row r="14">
      <c r="A14" s="9">
        <f t="shared" si="2"/>
        <v>13</v>
      </c>
      <c r="B14" s="1" t="str">
        <f t="array" ref="B14">INDEX(TeamsID!B:B,MATCH(K14,TeamsID!A:A,0))</f>
        <v>Brazukas</v>
      </c>
      <c r="C14" s="1">
        <v>3.0</v>
      </c>
      <c r="D14" s="1" t="str">
        <f t="array" ref="D14">INDEX(TeamsID!B:B,MATCH(L14,TeamsID!A:A,0))</f>
        <v>My Chemical Bromance</v>
      </c>
      <c r="E14" s="1">
        <v>3.0</v>
      </c>
      <c r="F14" s="15">
        <v>44467.0</v>
      </c>
      <c r="H14" s="1" t="s">
        <v>130</v>
      </c>
      <c r="I14" s="1"/>
      <c r="J14" s="1" t="s">
        <v>132</v>
      </c>
      <c r="K14" s="9">
        <v>1.0</v>
      </c>
      <c r="L14" s="9">
        <v>38.0</v>
      </c>
      <c r="M14" s="9" t="str">
        <f t="shared" si="1"/>
        <v>TIE</v>
      </c>
    </row>
    <row r="15">
      <c r="A15" s="9">
        <f t="shared" si="2"/>
        <v>14</v>
      </c>
      <c r="B15" s="1" t="str">
        <f t="array" ref="B15">INDEX(TeamsID!B:B,MATCH(K15,TeamsID!A:A,0))</f>
        <v>Brazukas</v>
      </c>
      <c r="C15" s="1">
        <v>4.0</v>
      </c>
      <c r="D15" s="1" t="str">
        <f t="array" ref="D15">INDEX(TeamsID!B:B,MATCH(L15,TeamsID!A:A,0))</f>
        <v>Seattle Americans</v>
      </c>
      <c r="E15" s="1">
        <v>6.0</v>
      </c>
      <c r="F15" s="15">
        <v>44474.0</v>
      </c>
      <c r="H15" s="1" t="s">
        <v>130</v>
      </c>
      <c r="I15" s="1"/>
      <c r="J15" s="1" t="s">
        <v>132</v>
      </c>
      <c r="K15" s="9">
        <v>1.0</v>
      </c>
      <c r="L15" s="9">
        <v>9.0</v>
      </c>
      <c r="M15" s="9" t="str">
        <f t="shared" si="1"/>
        <v>DEFEAT</v>
      </c>
    </row>
    <row r="16">
      <c r="A16" s="9">
        <f t="shared" si="2"/>
        <v>15</v>
      </c>
      <c r="B16" s="1" t="str">
        <f t="array" ref="B16">INDEX(TeamsID!B:B,MATCH(K16,TeamsID!A:A,0))</f>
        <v>Advil United</v>
      </c>
      <c r="C16" s="1">
        <v>6.0</v>
      </c>
      <c r="D16" s="1" t="str">
        <f t="array" ref="D16">INDEX(TeamsID!B:B,MATCH(L16,TeamsID!A:A,0))</f>
        <v>Brazukas</v>
      </c>
      <c r="E16" s="1">
        <v>7.0</v>
      </c>
      <c r="F16" s="15">
        <v>44481.0</v>
      </c>
      <c r="H16" s="1" t="s">
        <v>130</v>
      </c>
      <c r="I16" s="1"/>
      <c r="J16" s="1" t="s">
        <v>133</v>
      </c>
      <c r="K16" s="9">
        <v>7.0</v>
      </c>
      <c r="L16" s="9">
        <v>1.0</v>
      </c>
      <c r="M16" s="9" t="str">
        <f t="shared" si="1"/>
        <v>DEFEAT</v>
      </c>
    </row>
    <row r="17">
      <c r="A17" s="9">
        <f t="shared" si="2"/>
        <v>16</v>
      </c>
      <c r="B17" s="1" t="str">
        <f t="array" ref="B17">INDEX(TeamsID!B:B,MATCH(K17,TeamsID!A:A,0))</f>
        <v>Brazukas</v>
      </c>
      <c r="C17" s="1">
        <v>6.0</v>
      </c>
      <c r="D17" s="1" t="str">
        <f t="array" ref="D17">INDEX(TeamsID!B:B,MATCH(L17,TeamsID!A:A,0))</f>
        <v>No Tactics, Just Vibes</v>
      </c>
      <c r="E17" s="1">
        <v>4.0</v>
      </c>
      <c r="F17" s="15">
        <f t="shared" ref="F17:F20" si="3">F16+7</f>
        <v>44488</v>
      </c>
      <c r="H17" s="1" t="s">
        <v>130</v>
      </c>
      <c r="I17" s="1"/>
      <c r="J17" s="1" t="s">
        <v>133</v>
      </c>
      <c r="K17" s="9">
        <v>1.0</v>
      </c>
      <c r="L17" s="9">
        <v>11.0</v>
      </c>
      <c r="M17" s="9" t="str">
        <f t="shared" si="1"/>
        <v>WIN</v>
      </c>
    </row>
    <row r="18">
      <c r="A18" s="9">
        <f t="shared" si="2"/>
        <v>17</v>
      </c>
      <c r="B18" s="1" t="str">
        <f t="array" ref="B18">INDEX(TeamsID!B:B,MATCH(K18,TeamsID!A:A,0))</f>
        <v>Brazukas</v>
      </c>
      <c r="C18" s="1">
        <v>2.0</v>
      </c>
      <c r="D18" s="1" t="str">
        <f t="array" ref="D18">INDEX(TeamsID!B:B,MATCH(L18,TeamsID!A:A,0))</f>
        <v>Crouch Potatoes</v>
      </c>
      <c r="E18" s="1">
        <v>6.0</v>
      </c>
      <c r="F18" s="15">
        <f t="shared" si="3"/>
        <v>44495</v>
      </c>
      <c r="H18" s="1" t="s">
        <v>130</v>
      </c>
      <c r="I18" s="1"/>
      <c r="J18" s="1" t="s">
        <v>133</v>
      </c>
      <c r="K18" s="9">
        <v>1.0</v>
      </c>
      <c r="L18" s="9">
        <v>14.0</v>
      </c>
      <c r="M18" s="9" t="str">
        <f t="shared" si="1"/>
        <v>DEFEAT</v>
      </c>
    </row>
    <row r="19">
      <c r="A19" s="9">
        <f t="shared" si="2"/>
        <v>18</v>
      </c>
      <c r="B19" s="1" t="str">
        <f t="array" ref="B19">INDEX(TeamsID!B:B,MATCH(K19,TeamsID!A:A,0))</f>
        <v>Brazukas</v>
      </c>
      <c r="C19" s="1">
        <v>4.0</v>
      </c>
      <c r="D19" s="1" t="str">
        <f t="array" ref="D19">INDEX(TeamsID!B:B,MATCH(L19,TeamsID!A:A,0))</f>
        <v>Blackfoot Ballers</v>
      </c>
      <c r="E19" s="1">
        <v>8.0</v>
      </c>
      <c r="F19" s="15">
        <f t="shared" si="3"/>
        <v>44502</v>
      </c>
      <c r="H19" s="1" t="s">
        <v>130</v>
      </c>
      <c r="I19" s="1"/>
      <c r="J19" s="1" t="s">
        <v>133</v>
      </c>
      <c r="K19" s="9">
        <v>1.0</v>
      </c>
      <c r="L19" s="9">
        <v>5.0</v>
      </c>
      <c r="M19" s="9" t="str">
        <f t="shared" si="1"/>
        <v>DEFEAT</v>
      </c>
    </row>
    <row r="20">
      <c r="A20" s="9">
        <f t="shared" si="2"/>
        <v>19</v>
      </c>
      <c r="B20" s="1" t="str">
        <f t="array" ref="B20">INDEX(TeamsID!B:B,MATCH(K20,TeamsID!A:A,0))</f>
        <v>Brazukas</v>
      </c>
      <c r="C20" s="1">
        <v>3.0</v>
      </c>
      <c r="D20" s="1" t="str">
        <f t="array" ref="D20">INDEX(TeamsID!B:B,MATCH(L20,TeamsID!A:A,0))</f>
        <v>Crouch Potatoes</v>
      </c>
      <c r="E20" s="1">
        <v>0.0</v>
      </c>
      <c r="F20" s="15">
        <f t="shared" si="3"/>
        <v>44509</v>
      </c>
      <c r="H20" s="1" t="s">
        <v>130</v>
      </c>
      <c r="I20" s="1"/>
      <c r="J20" s="1" t="s">
        <v>133</v>
      </c>
      <c r="K20" s="9">
        <v>1.0</v>
      </c>
      <c r="L20" s="9">
        <v>14.0</v>
      </c>
      <c r="M20" s="9" t="str">
        <f t="shared" si="1"/>
        <v>WIN</v>
      </c>
    </row>
    <row r="21">
      <c r="A21" s="9">
        <f t="shared" si="2"/>
        <v>20</v>
      </c>
      <c r="B21" s="1" t="str">
        <f t="array" ref="B21">INDEX(TeamsID!B:B,MATCH(K21,TeamsID!A:A,0))</f>
        <v>Faceball</v>
      </c>
      <c r="C21" s="1">
        <v>2.0</v>
      </c>
      <c r="D21" s="1" t="str">
        <f t="array" ref="D21">INDEX(TeamsID!B:B,MATCH(L21,TeamsID!A:A,0))</f>
        <v>Brazukas</v>
      </c>
      <c r="E21" s="1">
        <v>3.0</v>
      </c>
      <c r="F21" s="15">
        <v>44523.0</v>
      </c>
      <c r="H21" s="1" t="s">
        <v>130</v>
      </c>
      <c r="I21" s="1"/>
      <c r="J21" s="1" t="s">
        <v>133</v>
      </c>
      <c r="K21" s="9">
        <v>8.0</v>
      </c>
      <c r="L21" s="9">
        <v>1.0</v>
      </c>
      <c r="M21" s="9" t="str">
        <f t="shared" si="1"/>
        <v>DEFEAT</v>
      </c>
    </row>
    <row r="22">
      <c r="A22" s="9">
        <f t="shared" si="2"/>
        <v>21</v>
      </c>
      <c r="B22" s="1" t="str">
        <f t="array" ref="B22">INDEX(TeamsID!B:B,MATCH(K22,TeamsID!A:A,0))</f>
        <v>Brazukas</v>
      </c>
      <c r="C22" s="1">
        <v>3.0</v>
      </c>
      <c r="D22" s="1" t="str">
        <f t="array" ref="D22">INDEX(TeamsID!B:B,MATCH(L22,TeamsID!A:A,0))</f>
        <v>Latin Heat</v>
      </c>
      <c r="E22" s="1">
        <v>5.0</v>
      </c>
      <c r="F22" s="15">
        <f t="shared" ref="F22:F25" si="4">F21+7</f>
        <v>44530</v>
      </c>
      <c r="H22" s="1" t="s">
        <v>130</v>
      </c>
      <c r="I22" s="1"/>
      <c r="J22" s="1" t="s">
        <v>133</v>
      </c>
      <c r="K22" s="9">
        <v>1.0</v>
      </c>
      <c r="L22" s="9">
        <v>39.0</v>
      </c>
      <c r="M22" s="9" t="str">
        <f t="shared" si="1"/>
        <v>DEFEAT</v>
      </c>
    </row>
    <row r="23">
      <c r="A23" s="9">
        <f t="shared" si="2"/>
        <v>22</v>
      </c>
      <c r="B23" s="1" t="str">
        <f t="array" ref="B23">INDEX(TeamsID!B:B,MATCH(K23,TeamsID!A:A,0))</f>
        <v>Seattle Americans</v>
      </c>
      <c r="C23" s="1">
        <v>5.0</v>
      </c>
      <c r="D23" s="1" t="str">
        <f t="array" ref="D23">INDEX(TeamsID!B:B,MATCH(L23,TeamsID!A:A,0))</f>
        <v>Brazukas</v>
      </c>
      <c r="E23" s="1">
        <v>2.0</v>
      </c>
      <c r="F23" s="15">
        <f t="shared" si="4"/>
        <v>44537</v>
      </c>
      <c r="H23" s="1" t="s">
        <v>130</v>
      </c>
      <c r="I23" s="1"/>
      <c r="J23" s="1" t="s">
        <v>133</v>
      </c>
      <c r="K23" s="9">
        <v>9.0</v>
      </c>
      <c r="L23" s="9">
        <v>1.0</v>
      </c>
      <c r="M23" s="9" t="str">
        <f t="shared" si="1"/>
        <v>WIN</v>
      </c>
    </row>
    <row r="24">
      <c r="A24" s="9">
        <f t="shared" si="2"/>
        <v>23</v>
      </c>
      <c r="B24" s="1" t="str">
        <f t="array" ref="B24">INDEX(TeamsID!B:B,MATCH(K24,TeamsID!A:A,0))</f>
        <v>FC Twente One</v>
      </c>
      <c r="C24" s="1">
        <v>3.0</v>
      </c>
      <c r="D24" s="1" t="str">
        <f t="array" ref="D24">INDEX(TeamsID!B:B,MATCH(L24,TeamsID!A:A,0))</f>
        <v>Brazukas</v>
      </c>
      <c r="E24" s="1">
        <v>4.0</v>
      </c>
      <c r="F24" s="15">
        <f t="shared" si="4"/>
        <v>44544</v>
      </c>
      <c r="H24" s="1" t="s">
        <v>130</v>
      </c>
      <c r="I24" s="1"/>
      <c r="J24" s="1" t="s">
        <v>133</v>
      </c>
      <c r="K24" s="9">
        <v>10.0</v>
      </c>
      <c r="L24" s="9">
        <v>1.0</v>
      </c>
      <c r="M24" s="9" t="str">
        <f t="shared" si="1"/>
        <v>DEFEAT</v>
      </c>
    </row>
    <row r="25">
      <c r="A25" s="9">
        <f t="shared" si="2"/>
        <v>24</v>
      </c>
      <c r="B25" s="1" t="str">
        <f t="array" ref="B25">INDEX(TeamsID!B:B,MATCH(K25,TeamsID!A:A,0))</f>
        <v>No Tactics, Just Vibes</v>
      </c>
      <c r="C25" s="1">
        <v>0.0</v>
      </c>
      <c r="D25" s="1" t="str">
        <f t="array" ref="D25">INDEX(TeamsID!B:B,MATCH(L25,TeamsID!A:A,0))</f>
        <v>Brazukas</v>
      </c>
      <c r="E25" s="1">
        <v>0.0</v>
      </c>
      <c r="F25" s="15">
        <f t="shared" si="4"/>
        <v>44551</v>
      </c>
      <c r="H25" s="1" t="s">
        <v>130</v>
      </c>
      <c r="I25" s="1"/>
      <c r="J25" s="1" t="s">
        <v>133</v>
      </c>
      <c r="K25" s="9">
        <v>11.0</v>
      </c>
      <c r="L25" s="9">
        <v>1.0</v>
      </c>
      <c r="M25" s="9" t="str">
        <f t="shared" si="1"/>
        <v>TIE</v>
      </c>
    </row>
    <row r="26">
      <c r="A26" s="9">
        <f t="shared" si="2"/>
        <v>25</v>
      </c>
      <c r="B26" s="1" t="str">
        <f t="array" ref="B26">INDEX(TeamsID!B:B,MATCH(K26,TeamsID!A:A,0))</f>
        <v>Magma</v>
      </c>
      <c r="C26" s="1">
        <v>0.0</v>
      </c>
      <c r="D26" s="1" t="str">
        <f t="array" ref="D26">INDEX(TeamsID!B:B,MATCH(L26,TeamsID!A:A,0))</f>
        <v>Brazukas</v>
      </c>
      <c r="E26" s="1">
        <v>4.0</v>
      </c>
      <c r="F26" s="15">
        <v>44551.0</v>
      </c>
      <c r="H26" s="1" t="s">
        <v>130</v>
      </c>
      <c r="I26" s="1"/>
      <c r="J26" s="1" t="s">
        <v>133</v>
      </c>
      <c r="K26" s="9">
        <v>12.0</v>
      </c>
      <c r="L26" s="9">
        <v>1.0</v>
      </c>
      <c r="M26" s="9" t="str">
        <f t="shared" si="1"/>
        <v>DEFEAT</v>
      </c>
    </row>
    <row r="27">
      <c r="A27" s="9">
        <f t="shared" si="2"/>
        <v>26</v>
      </c>
      <c r="B27" s="1" t="str">
        <f t="array" ref="B27">INDEX(TeamsID!B:B,MATCH(K27,TeamsID!A:A,0))</f>
        <v>Husar</v>
      </c>
      <c r="C27" s="1">
        <v>5.0</v>
      </c>
      <c r="D27" s="1" t="str">
        <f t="array" ref="D27">INDEX(TeamsID!B:B,MATCH(L27,TeamsID!A:A,0))</f>
        <v>Brazukas</v>
      </c>
      <c r="E27" s="1">
        <v>3.0</v>
      </c>
      <c r="F27" s="15">
        <v>44565.0</v>
      </c>
      <c r="H27" s="1" t="s">
        <v>130</v>
      </c>
      <c r="I27" s="1"/>
      <c r="J27" s="1" t="s">
        <v>133</v>
      </c>
      <c r="K27" s="9">
        <v>4.0</v>
      </c>
      <c r="L27" s="9">
        <v>1.0</v>
      </c>
      <c r="M27" s="9" t="str">
        <f t="shared" si="1"/>
        <v>WIN</v>
      </c>
    </row>
    <row r="28">
      <c r="A28" s="9">
        <f t="shared" si="2"/>
        <v>27</v>
      </c>
      <c r="B28" s="1" t="str">
        <f t="array" ref="B28">INDEX(TeamsID!B:B,MATCH(K28,TeamsID!A:A,0))</f>
        <v>Fuchester United</v>
      </c>
      <c r="C28" s="1">
        <v>3.0</v>
      </c>
      <c r="D28" s="1" t="str">
        <f t="array" ref="D28">INDEX(TeamsID!B:B,MATCH(L28,TeamsID!A:A,0))</f>
        <v>Brazukas</v>
      </c>
      <c r="E28" s="1">
        <v>6.0</v>
      </c>
      <c r="F28" s="15">
        <v>44579.0</v>
      </c>
      <c r="H28" s="1" t="s">
        <v>130</v>
      </c>
      <c r="I28" s="1"/>
      <c r="J28" s="1" t="s">
        <v>134</v>
      </c>
      <c r="K28" s="9">
        <v>13.0</v>
      </c>
      <c r="L28" s="9">
        <v>1.0</v>
      </c>
      <c r="M28" s="9" t="str">
        <f t="shared" si="1"/>
        <v>DEFEAT</v>
      </c>
    </row>
    <row r="29">
      <c r="A29" s="9">
        <f t="shared" si="2"/>
        <v>28</v>
      </c>
      <c r="B29" s="1" t="str">
        <f t="array" ref="B29">INDEX(TeamsID!B:B,MATCH(K29,TeamsID!A:A,0))</f>
        <v>Brazukas</v>
      </c>
      <c r="C29" s="1">
        <v>4.0</v>
      </c>
      <c r="D29" s="1" t="str">
        <f t="array" ref="D29">INDEX(TeamsID!B:B,MATCH(L29,TeamsID!A:A,0))</f>
        <v>Faceball</v>
      </c>
      <c r="E29" s="1">
        <v>4.0</v>
      </c>
      <c r="F29" s="15">
        <v>44958.0</v>
      </c>
      <c r="H29" s="1" t="s">
        <v>130</v>
      </c>
      <c r="I29" s="1"/>
      <c r="J29" s="1" t="s">
        <v>134</v>
      </c>
      <c r="K29" s="9">
        <v>1.0</v>
      </c>
      <c r="L29" s="9">
        <v>8.0</v>
      </c>
      <c r="M29" s="9" t="str">
        <f t="shared" si="1"/>
        <v>TIE</v>
      </c>
    </row>
    <row r="30">
      <c r="A30" s="9">
        <f t="shared" si="2"/>
        <v>29</v>
      </c>
      <c r="B30" s="1" t="str">
        <f t="array" ref="B30">INDEX(TeamsID!B:B,MATCH(K30,TeamsID!A:A,0))</f>
        <v>Brazukas</v>
      </c>
      <c r="C30" s="1">
        <v>3.0</v>
      </c>
      <c r="D30" s="1" t="str">
        <f t="array" ref="D30">INDEX(TeamsID!B:B,MATCH(L30,TeamsID!A:A,0))</f>
        <v>Husar</v>
      </c>
      <c r="E30" s="1">
        <v>2.0</v>
      </c>
      <c r="F30" s="15">
        <v>44958.0</v>
      </c>
      <c r="H30" s="1" t="s">
        <v>130</v>
      </c>
      <c r="I30" s="1"/>
      <c r="J30" s="1" t="s">
        <v>134</v>
      </c>
      <c r="K30" s="9">
        <v>1.0</v>
      </c>
      <c r="L30" s="9">
        <v>4.0</v>
      </c>
      <c r="M30" s="9" t="str">
        <f t="shared" si="1"/>
        <v>WIN</v>
      </c>
    </row>
    <row r="31">
      <c r="A31" s="9">
        <f t="shared" si="2"/>
        <v>30</v>
      </c>
      <c r="B31" s="1" t="str">
        <f t="array" ref="B31">INDEX(TeamsID!B:B,MATCH(K31,TeamsID!A:A,0))</f>
        <v>FC Twente One</v>
      </c>
      <c r="C31" s="1">
        <v>6.0</v>
      </c>
      <c r="D31" s="1" t="str">
        <f t="array" ref="D31">INDEX(TeamsID!B:B,MATCH(L31,TeamsID!A:A,0))</f>
        <v>Brazukas</v>
      </c>
      <c r="E31" s="1">
        <v>4.0</v>
      </c>
      <c r="F31" s="15">
        <f t="shared" ref="F31:F38" si="5">F30+7</f>
        <v>44965</v>
      </c>
      <c r="H31" s="1" t="s">
        <v>130</v>
      </c>
      <c r="I31" s="1"/>
      <c r="J31" s="1" t="s">
        <v>134</v>
      </c>
      <c r="K31" s="9">
        <v>10.0</v>
      </c>
      <c r="L31" s="9">
        <v>1.0</v>
      </c>
      <c r="M31" s="9" t="str">
        <f t="shared" si="1"/>
        <v>WIN</v>
      </c>
    </row>
    <row r="32">
      <c r="A32" s="9">
        <f t="shared" si="2"/>
        <v>31</v>
      </c>
      <c r="B32" s="1" t="str">
        <f t="array" ref="B32">INDEX(TeamsID!B:B,MATCH(K32,TeamsID!A:A,0))</f>
        <v>Advil United</v>
      </c>
      <c r="C32" s="1">
        <v>3.0</v>
      </c>
      <c r="D32" s="1" t="str">
        <f t="array" ref="D32">INDEX(TeamsID!B:B,MATCH(L32,TeamsID!A:A,0))</f>
        <v>Brazukas</v>
      </c>
      <c r="E32" s="1">
        <v>4.0</v>
      </c>
      <c r="F32" s="15">
        <f t="shared" si="5"/>
        <v>44972</v>
      </c>
      <c r="H32" s="1" t="s">
        <v>130</v>
      </c>
      <c r="I32" s="1"/>
      <c r="J32" s="1" t="s">
        <v>134</v>
      </c>
      <c r="K32" s="9">
        <v>7.0</v>
      </c>
      <c r="L32" s="9">
        <v>1.0</v>
      </c>
      <c r="M32" s="9" t="str">
        <f t="shared" si="1"/>
        <v>DEFEAT</v>
      </c>
    </row>
    <row r="33">
      <c r="A33" s="9">
        <f t="shared" si="2"/>
        <v>32</v>
      </c>
      <c r="B33" s="1" t="str">
        <f t="array" ref="B33">INDEX(TeamsID!B:B,MATCH(K33,TeamsID!A:A,0))</f>
        <v>Brazukas</v>
      </c>
      <c r="C33" s="1">
        <v>6.0</v>
      </c>
      <c r="D33" s="1" t="str">
        <f t="array" ref="D33">INDEX(TeamsID!B:B,MATCH(L33,TeamsID!A:A,0))</f>
        <v>Crouch Potatoes</v>
      </c>
      <c r="E33" s="1">
        <v>4.0</v>
      </c>
      <c r="F33" s="15">
        <f t="shared" si="5"/>
        <v>44979</v>
      </c>
      <c r="H33" s="1" t="s">
        <v>130</v>
      </c>
      <c r="I33" s="1"/>
      <c r="J33" s="1" t="s">
        <v>134</v>
      </c>
      <c r="K33" s="9">
        <v>1.0</v>
      </c>
      <c r="L33" s="9">
        <v>14.0</v>
      </c>
      <c r="M33" s="9" t="str">
        <f t="shared" si="1"/>
        <v>WIN</v>
      </c>
    </row>
    <row r="34">
      <c r="A34" s="9">
        <f t="shared" si="2"/>
        <v>33</v>
      </c>
      <c r="B34" s="1" t="str">
        <f t="array" ref="B34">INDEX(TeamsID!B:B,MATCH(K34,TeamsID!A:A,0))</f>
        <v>Brazukas</v>
      </c>
      <c r="C34" s="1">
        <v>2.0</v>
      </c>
      <c r="D34" s="1" t="str">
        <f t="array" ref="D34">INDEX(TeamsID!B:B,MATCH(L34,TeamsID!A:A,0))</f>
        <v>Faceball</v>
      </c>
      <c r="E34" s="1">
        <v>2.0</v>
      </c>
      <c r="F34" s="15">
        <f t="shared" si="5"/>
        <v>44986</v>
      </c>
      <c r="H34" s="1" t="s">
        <v>130</v>
      </c>
      <c r="I34" s="1"/>
      <c r="J34" s="1" t="s">
        <v>134</v>
      </c>
      <c r="K34" s="9">
        <v>1.0</v>
      </c>
      <c r="L34" s="9">
        <v>8.0</v>
      </c>
      <c r="M34" s="9" t="str">
        <f t="shared" si="1"/>
        <v>TIE</v>
      </c>
    </row>
    <row r="35">
      <c r="A35" s="9">
        <f t="shared" si="2"/>
        <v>34</v>
      </c>
      <c r="B35" s="1" t="str">
        <f t="array" ref="B35">INDEX(TeamsID!B:B,MATCH(K35,TeamsID!A:A,0))</f>
        <v>Seattle Americans</v>
      </c>
      <c r="C35" s="1">
        <v>10.0</v>
      </c>
      <c r="D35" s="1" t="str">
        <f t="array" ref="D35">INDEX(TeamsID!B:B,MATCH(L35,TeamsID!A:A,0))</f>
        <v>Brazukas</v>
      </c>
      <c r="E35" s="1">
        <v>7.0</v>
      </c>
      <c r="F35" s="15">
        <f t="shared" si="5"/>
        <v>44993</v>
      </c>
      <c r="H35" s="1" t="s">
        <v>130</v>
      </c>
      <c r="I35" s="1"/>
      <c r="J35" s="1" t="s">
        <v>134</v>
      </c>
      <c r="K35" s="9">
        <v>9.0</v>
      </c>
      <c r="L35" s="9">
        <v>1.0</v>
      </c>
      <c r="M35" s="9" t="str">
        <f t="shared" si="1"/>
        <v>WIN</v>
      </c>
    </row>
    <row r="36">
      <c r="A36" s="9">
        <f t="shared" si="2"/>
        <v>35</v>
      </c>
      <c r="B36" s="1" t="str">
        <f t="array" ref="B36">INDEX(TeamsID!B:B,MATCH(K36,TeamsID!A:A,0))</f>
        <v>Brazukas</v>
      </c>
      <c r="C36" s="1">
        <v>1.0</v>
      </c>
      <c r="D36" s="1" t="str">
        <f t="array" ref="D36">INDEX(TeamsID!B:B,MATCH(L36,TeamsID!A:A,0))</f>
        <v>Blackfoot Ballers</v>
      </c>
      <c r="E36" s="1">
        <v>6.0</v>
      </c>
      <c r="F36" s="15">
        <f t="shared" si="5"/>
        <v>45000</v>
      </c>
      <c r="H36" s="1" t="s">
        <v>130</v>
      </c>
      <c r="I36" s="1"/>
      <c r="J36" s="1" t="s">
        <v>134</v>
      </c>
      <c r="K36" s="9">
        <v>1.0</v>
      </c>
      <c r="L36" s="9">
        <v>5.0</v>
      </c>
      <c r="M36" s="9" t="str">
        <f t="shared" si="1"/>
        <v>DEFEAT</v>
      </c>
    </row>
    <row r="37">
      <c r="A37" s="9">
        <f t="shared" si="2"/>
        <v>36</v>
      </c>
      <c r="B37" s="1" t="str">
        <f t="array" ref="B37">INDEX(TeamsID!B:B,MATCH(K37,TeamsID!A:A,0))</f>
        <v>Brazukas</v>
      </c>
      <c r="C37" s="1">
        <v>13.0</v>
      </c>
      <c r="D37" s="1" t="str">
        <f t="array" ref="D37">INDEX(TeamsID!B:B,MATCH(L37,TeamsID!A:A,0))</f>
        <v>Fuchester United</v>
      </c>
      <c r="E37" s="1">
        <v>4.0</v>
      </c>
      <c r="F37" s="15">
        <f t="shared" si="5"/>
        <v>45007</v>
      </c>
      <c r="H37" s="1" t="s">
        <v>130</v>
      </c>
      <c r="I37" s="1"/>
      <c r="J37" s="1" t="s">
        <v>134</v>
      </c>
      <c r="K37" s="9">
        <v>1.0</v>
      </c>
      <c r="L37" s="9">
        <v>13.0</v>
      </c>
      <c r="M37" s="9" t="str">
        <f t="shared" si="1"/>
        <v>WIN</v>
      </c>
    </row>
    <row r="38">
      <c r="A38" s="9">
        <f t="shared" si="2"/>
        <v>37</v>
      </c>
      <c r="B38" s="1" t="str">
        <f t="array" ref="B38">INDEX(TeamsID!B:B,MATCH(K38,TeamsID!A:A,0))</f>
        <v>Husar</v>
      </c>
      <c r="C38" s="1">
        <v>2.0</v>
      </c>
      <c r="D38" s="1" t="str">
        <f t="array" ref="D38">INDEX(TeamsID!B:B,MATCH(L38,TeamsID!A:A,0))</f>
        <v>Brazukas</v>
      </c>
      <c r="E38" s="1">
        <v>4.0</v>
      </c>
      <c r="F38" s="15">
        <f t="shared" si="5"/>
        <v>45014</v>
      </c>
      <c r="H38" s="1" t="s">
        <v>130</v>
      </c>
      <c r="I38" s="1"/>
      <c r="J38" s="1" t="s">
        <v>134</v>
      </c>
      <c r="K38" s="9">
        <v>4.0</v>
      </c>
      <c r="L38" s="9">
        <v>1.0</v>
      </c>
      <c r="M38" s="9" t="str">
        <f t="shared" si="1"/>
        <v>DEFEAT</v>
      </c>
    </row>
    <row r="39">
      <c r="A39" s="9">
        <f t="shared" si="2"/>
        <v>38</v>
      </c>
      <c r="B39" s="1" t="str">
        <f t="array" ref="B39">INDEX(TeamsID!B:B,MATCH(K39,TeamsID!A:A,0))</f>
        <v>FC Twente One</v>
      </c>
      <c r="C39" s="1">
        <v>5.0</v>
      </c>
      <c r="D39" s="1" t="str">
        <f t="array" ref="D39">INDEX(TeamsID!B:B,MATCH(L39,TeamsID!A:A,0))</f>
        <v>Brazukas</v>
      </c>
      <c r="E39" s="1">
        <v>3.0</v>
      </c>
      <c r="F39" s="15">
        <v>44663.0</v>
      </c>
      <c r="H39" s="1" t="s">
        <v>130</v>
      </c>
      <c r="I39" s="1"/>
      <c r="J39" s="1" t="s">
        <v>134</v>
      </c>
      <c r="K39" s="9">
        <v>10.0</v>
      </c>
      <c r="L39" s="9">
        <v>1.0</v>
      </c>
      <c r="M39" s="9" t="str">
        <f t="shared" si="1"/>
        <v>WIN</v>
      </c>
    </row>
    <row r="40">
      <c r="A40" s="9">
        <f t="shared" si="2"/>
        <v>39</v>
      </c>
      <c r="B40" s="1" t="str">
        <f t="array" ref="B40">INDEX(TeamsID!B:B,MATCH(K40,TeamsID!A:A,0))</f>
        <v>Crouch Potatoes</v>
      </c>
      <c r="C40" s="1">
        <v>2.0</v>
      </c>
      <c r="D40" s="1" t="str">
        <f t="array" ref="D40">INDEX(TeamsID!B:B,MATCH(L40,TeamsID!A:A,0))</f>
        <v>Brazukas</v>
      </c>
      <c r="E40" s="1">
        <v>1.0</v>
      </c>
      <c r="F40" s="15">
        <v>44670.0</v>
      </c>
      <c r="H40" s="1" t="s">
        <v>130</v>
      </c>
      <c r="I40" s="1"/>
      <c r="J40" s="1" t="s">
        <v>135</v>
      </c>
      <c r="K40" s="9">
        <v>14.0</v>
      </c>
      <c r="L40" s="9">
        <v>1.0</v>
      </c>
      <c r="M40" s="9" t="str">
        <f t="shared" si="1"/>
        <v>WIN</v>
      </c>
    </row>
    <row r="41">
      <c r="A41" s="9">
        <f t="shared" si="2"/>
        <v>40</v>
      </c>
      <c r="B41" s="1" t="str">
        <f t="array" ref="B41">INDEX(TeamsID!B:B,MATCH(K41,TeamsID!A:A,0))</f>
        <v>Edge Delta</v>
      </c>
      <c r="C41" s="1">
        <v>1.0</v>
      </c>
      <c r="D41" s="1" t="str">
        <f t="array" ref="D41">INDEX(TeamsID!B:B,MATCH(L41,TeamsID!A:A,0))</f>
        <v>Brazukas</v>
      </c>
      <c r="E41" s="1">
        <v>4.0</v>
      </c>
      <c r="F41" s="15">
        <f t="shared" ref="F41:F45" si="6">F40+7</f>
        <v>44677</v>
      </c>
      <c r="H41" s="1" t="s">
        <v>130</v>
      </c>
      <c r="I41" s="1"/>
      <c r="J41" s="1" t="s">
        <v>135</v>
      </c>
      <c r="K41" s="9">
        <v>15.0</v>
      </c>
      <c r="L41" s="9">
        <v>1.0</v>
      </c>
      <c r="M41" s="9" t="str">
        <f t="shared" si="1"/>
        <v>DEFEAT</v>
      </c>
    </row>
    <row r="42">
      <c r="A42" s="9">
        <f t="shared" si="2"/>
        <v>41</v>
      </c>
      <c r="B42" s="1" t="str">
        <f t="array" ref="B42">INDEX(TeamsID!B:B,MATCH(K42,TeamsID!A:A,0))</f>
        <v>Brazukas</v>
      </c>
      <c r="C42" s="1">
        <v>5.0</v>
      </c>
      <c r="D42" s="1" t="str">
        <f t="array" ref="D42">INDEX(TeamsID!B:B,MATCH(L42,TeamsID!A:A,0))</f>
        <v>Blackfoot Ballers</v>
      </c>
      <c r="E42" s="1">
        <v>4.0</v>
      </c>
      <c r="F42" s="15">
        <f t="shared" si="6"/>
        <v>44684</v>
      </c>
      <c r="H42" s="1" t="s">
        <v>130</v>
      </c>
      <c r="I42" s="1"/>
      <c r="J42" s="1" t="s">
        <v>135</v>
      </c>
      <c r="K42" s="9">
        <v>1.0</v>
      </c>
      <c r="L42" s="9">
        <v>5.0</v>
      </c>
      <c r="M42" s="9" t="str">
        <f t="shared" si="1"/>
        <v>WIN</v>
      </c>
    </row>
    <row r="43">
      <c r="A43" s="9">
        <f t="shared" si="2"/>
        <v>42</v>
      </c>
      <c r="B43" s="1" t="str">
        <f t="array" ref="B43">INDEX(TeamsID!B:B,MATCH(K43,TeamsID!A:A,0))</f>
        <v>Brazukas</v>
      </c>
      <c r="C43" s="1">
        <v>1.0</v>
      </c>
      <c r="D43" s="1" t="str">
        <f t="array" ref="D43">INDEX(TeamsID!B:B,MATCH(L43,TeamsID!A:A,0))</f>
        <v>Latin Heat</v>
      </c>
      <c r="E43" s="1">
        <v>5.0</v>
      </c>
      <c r="F43" s="15">
        <f t="shared" si="6"/>
        <v>44691</v>
      </c>
      <c r="H43" s="1" t="s">
        <v>130</v>
      </c>
      <c r="I43" s="1"/>
      <c r="J43" s="1" t="s">
        <v>135</v>
      </c>
      <c r="K43" s="9">
        <v>1.0</v>
      </c>
      <c r="L43" s="9">
        <v>39.0</v>
      </c>
      <c r="M43" s="9" t="str">
        <f t="shared" si="1"/>
        <v>DEFEAT</v>
      </c>
    </row>
    <row r="44">
      <c r="A44" s="9">
        <f t="shared" si="2"/>
        <v>43</v>
      </c>
      <c r="B44" s="1" t="str">
        <f t="array" ref="B44">INDEX(TeamsID!B:B,MATCH(K44,TeamsID!A:A,0))</f>
        <v>Seattle Americans</v>
      </c>
      <c r="C44" s="1">
        <v>5.0</v>
      </c>
      <c r="D44" s="1" t="str">
        <f t="array" ref="D44">INDEX(TeamsID!B:B,MATCH(L44,TeamsID!A:A,0))</f>
        <v>Brazukas</v>
      </c>
      <c r="E44" s="1">
        <v>4.0</v>
      </c>
      <c r="F44" s="15">
        <f t="shared" si="6"/>
        <v>44698</v>
      </c>
      <c r="H44" s="1" t="s">
        <v>130</v>
      </c>
      <c r="I44" s="1"/>
      <c r="J44" s="1" t="s">
        <v>135</v>
      </c>
      <c r="K44" s="9">
        <v>9.0</v>
      </c>
      <c r="L44" s="9">
        <v>1.0</v>
      </c>
      <c r="M44" s="9" t="str">
        <f t="shared" si="1"/>
        <v>WIN</v>
      </c>
    </row>
    <row r="45">
      <c r="A45" s="9">
        <f t="shared" si="2"/>
        <v>44</v>
      </c>
      <c r="B45" s="1" t="str">
        <f t="array" ref="B45">INDEX(TeamsID!B:B,MATCH(K45,TeamsID!A:A,0))</f>
        <v>Brazukas</v>
      </c>
      <c r="C45" s="1">
        <v>3.0</v>
      </c>
      <c r="D45" s="1" t="str">
        <f t="array" ref="D45">INDEX(TeamsID!B:B,MATCH(L45,TeamsID!A:A,0))</f>
        <v>Fuchester United</v>
      </c>
      <c r="E45" s="1">
        <v>4.0</v>
      </c>
      <c r="F45" s="15">
        <f t="shared" si="6"/>
        <v>44705</v>
      </c>
      <c r="H45" s="1" t="s">
        <v>130</v>
      </c>
      <c r="I45" s="1"/>
      <c r="J45" s="1" t="s">
        <v>135</v>
      </c>
      <c r="K45" s="9">
        <v>1.0</v>
      </c>
      <c r="L45" s="9">
        <v>13.0</v>
      </c>
      <c r="M45" s="9" t="str">
        <f t="shared" si="1"/>
        <v>DEFEAT</v>
      </c>
    </row>
    <row r="46">
      <c r="A46" s="9">
        <f t="shared" si="2"/>
        <v>45</v>
      </c>
      <c r="B46" s="1" t="str">
        <f t="array" ref="B46">INDEX(TeamsID!B:B,MATCH(K46,TeamsID!A:A,0))</f>
        <v>Brazukas</v>
      </c>
      <c r="C46" s="1">
        <v>5.0</v>
      </c>
      <c r="D46" s="1" t="str">
        <f t="array" ref="D46">INDEX(TeamsID!B:B,MATCH(L46,TeamsID!A:A,0))</f>
        <v>Faceball</v>
      </c>
      <c r="E46" s="1">
        <v>4.0</v>
      </c>
      <c r="F46" s="15">
        <v>44719.0</v>
      </c>
      <c r="H46" s="1" t="s">
        <v>130</v>
      </c>
      <c r="I46" s="1"/>
      <c r="J46" s="1" t="s">
        <v>135</v>
      </c>
      <c r="K46" s="9">
        <v>1.0</v>
      </c>
      <c r="L46" s="9">
        <v>8.0</v>
      </c>
      <c r="M46" s="9" t="str">
        <f t="shared" si="1"/>
        <v>WIN</v>
      </c>
    </row>
    <row r="47">
      <c r="A47" s="9">
        <f t="shared" si="2"/>
        <v>46</v>
      </c>
      <c r="B47" s="1" t="str">
        <f t="array" ref="B47">INDEX(TeamsID!B:B,MATCH(K47,TeamsID!A:A,0))</f>
        <v>Advil United</v>
      </c>
      <c r="C47" s="1">
        <v>7.0</v>
      </c>
      <c r="D47" s="1" t="str">
        <f t="array" ref="D47">INDEX(TeamsID!B:B,MATCH(L47,TeamsID!A:A,0))</f>
        <v>Brazukas</v>
      </c>
      <c r="E47" s="1">
        <v>3.0</v>
      </c>
      <c r="F47" s="15">
        <f t="shared" ref="F47:F54" si="7">F46+7</f>
        <v>44726</v>
      </c>
      <c r="H47" s="1" t="s">
        <v>130</v>
      </c>
      <c r="I47" s="1"/>
      <c r="J47" s="1" t="s">
        <v>135</v>
      </c>
      <c r="K47" s="9">
        <v>7.0</v>
      </c>
      <c r="L47" s="9">
        <v>1.0</v>
      </c>
      <c r="M47" s="9" t="str">
        <f t="shared" si="1"/>
        <v>WIN</v>
      </c>
    </row>
    <row r="48">
      <c r="A48" s="9">
        <f t="shared" si="2"/>
        <v>47</v>
      </c>
      <c r="B48" s="1" t="str">
        <f t="array" ref="B48">INDEX(TeamsID!B:B,MATCH(K48,TeamsID!A:A,0))</f>
        <v>Edge Delta</v>
      </c>
      <c r="C48" s="1">
        <v>1.0</v>
      </c>
      <c r="D48" s="1" t="str">
        <f t="array" ref="D48">INDEX(TeamsID!B:B,MATCH(L48,TeamsID!A:A,0))</f>
        <v>Brazukas</v>
      </c>
      <c r="E48" s="1">
        <v>3.0</v>
      </c>
      <c r="F48" s="15">
        <f t="shared" si="7"/>
        <v>44733</v>
      </c>
      <c r="H48" s="1" t="s">
        <v>130</v>
      </c>
      <c r="I48" s="1"/>
      <c r="J48" s="1" t="s">
        <v>135</v>
      </c>
      <c r="K48" s="9">
        <v>15.0</v>
      </c>
      <c r="L48" s="9">
        <v>1.0</v>
      </c>
      <c r="M48" s="9" t="str">
        <f t="shared" si="1"/>
        <v>DEFEAT</v>
      </c>
    </row>
    <row r="49">
      <c r="A49" s="9">
        <f t="shared" si="2"/>
        <v>48</v>
      </c>
      <c r="B49" s="1" t="str">
        <f t="array" ref="B49">INDEX(TeamsID!B:B,MATCH(K49,TeamsID!A:A,0))</f>
        <v>Brazukas</v>
      </c>
      <c r="C49" s="1">
        <v>3.0</v>
      </c>
      <c r="D49" s="1" t="str">
        <f t="array" ref="D49">INDEX(TeamsID!B:B,MATCH(L49,TeamsID!A:A,0))</f>
        <v>Blackfoot Ballers</v>
      </c>
      <c r="E49" s="1">
        <v>4.0</v>
      </c>
      <c r="F49" s="15">
        <f t="shared" si="7"/>
        <v>44740</v>
      </c>
      <c r="H49" s="1" t="s">
        <v>130</v>
      </c>
      <c r="I49" s="1"/>
      <c r="J49" s="1" t="s">
        <v>135</v>
      </c>
      <c r="K49" s="9">
        <v>1.0</v>
      </c>
      <c r="L49" s="9">
        <v>5.0</v>
      </c>
      <c r="M49" s="9" t="str">
        <f t="shared" si="1"/>
        <v>DEFEAT</v>
      </c>
    </row>
    <row r="50">
      <c r="A50" s="9">
        <f t="shared" si="2"/>
        <v>49</v>
      </c>
      <c r="B50" s="1" t="str">
        <f t="array" ref="B50">INDEX(TeamsID!B:B,MATCH(K50,TeamsID!A:A,0))</f>
        <v>Brazukas</v>
      </c>
      <c r="C50" s="1">
        <v>2.0</v>
      </c>
      <c r="D50" s="1" t="str">
        <f t="array" ref="D50">INDEX(TeamsID!B:B,MATCH(L50,TeamsID!A:A,0))</f>
        <v>Latin Heat</v>
      </c>
      <c r="E50" s="1">
        <v>3.0</v>
      </c>
      <c r="F50" s="15">
        <f t="shared" si="7"/>
        <v>44747</v>
      </c>
      <c r="H50" s="1" t="s">
        <v>130</v>
      </c>
      <c r="I50" s="1"/>
      <c r="J50" s="1" t="s">
        <v>135</v>
      </c>
      <c r="K50" s="9">
        <v>1.0</v>
      </c>
      <c r="L50" s="9">
        <v>39.0</v>
      </c>
      <c r="M50" s="9" t="str">
        <f t="shared" si="1"/>
        <v>DEFEAT</v>
      </c>
    </row>
    <row r="51">
      <c r="A51" s="9">
        <f t="shared" si="2"/>
        <v>50</v>
      </c>
      <c r="B51" s="1" t="str">
        <f t="array" ref="B51">INDEX(TeamsID!B:B,MATCH(K51,TeamsID!A:A,0))</f>
        <v>Crouch Potatoes</v>
      </c>
      <c r="C51" s="1">
        <v>6.0</v>
      </c>
      <c r="D51" s="1" t="str">
        <f t="array" ref="D51">INDEX(TeamsID!B:B,MATCH(L51,TeamsID!A:A,0))</f>
        <v>Brazukas</v>
      </c>
      <c r="E51" s="1">
        <v>3.0</v>
      </c>
      <c r="F51" s="15">
        <f t="shared" si="7"/>
        <v>44754</v>
      </c>
      <c r="H51" s="1" t="s">
        <v>130</v>
      </c>
      <c r="I51" s="1"/>
      <c r="J51" s="1" t="s">
        <v>135</v>
      </c>
      <c r="K51" s="9">
        <v>14.0</v>
      </c>
      <c r="L51" s="9">
        <v>1.0</v>
      </c>
      <c r="M51" s="9" t="str">
        <f t="shared" si="1"/>
        <v>WIN</v>
      </c>
    </row>
    <row r="52">
      <c r="A52" s="9">
        <f t="shared" si="2"/>
        <v>51</v>
      </c>
      <c r="B52" s="1" t="str">
        <f t="array" ref="B52">INDEX(TeamsID!B:B,MATCH(K52,TeamsID!A:A,0))</f>
        <v>Wolves</v>
      </c>
      <c r="C52" s="1">
        <v>6.0</v>
      </c>
      <c r="D52" s="1" t="str">
        <f t="array" ref="D52">INDEX(TeamsID!B:B,MATCH(L52,TeamsID!A:A,0))</f>
        <v>Brazukas</v>
      </c>
      <c r="E52" s="1">
        <v>2.0</v>
      </c>
      <c r="F52" s="15">
        <f t="shared" si="7"/>
        <v>44761</v>
      </c>
      <c r="H52" s="1" t="s">
        <v>130</v>
      </c>
      <c r="I52" s="1"/>
      <c r="J52" s="1" t="s">
        <v>136</v>
      </c>
      <c r="K52" s="9">
        <v>16.0</v>
      </c>
      <c r="L52" s="9">
        <v>1.0</v>
      </c>
      <c r="M52" s="9" t="str">
        <f t="shared" si="1"/>
        <v>WIN</v>
      </c>
    </row>
    <row r="53">
      <c r="A53" s="9">
        <f t="shared" si="2"/>
        <v>52</v>
      </c>
      <c r="B53" s="1" t="str">
        <f t="array" ref="B53">INDEX(TeamsID!B:B,MATCH(K53,TeamsID!A:A,0))</f>
        <v>Brazukas</v>
      </c>
      <c r="C53" s="1">
        <v>4.0</v>
      </c>
      <c r="D53" s="1" t="str">
        <f t="array" ref="D53">INDEX(TeamsID!B:B,MATCH(L53,TeamsID!A:A,0))</f>
        <v>Advil United</v>
      </c>
      <c r="E53" s="1">
        <v>5.0</v>
      </c>
      <c r="F53" s="15">
        <f t="shared" si="7"/>
        <v>44768</v>
      </c>
      <c r="H53" s="1" t="s">
        <v>130</v>
      </c>
      <c r="I53" s="1"/>
      <c r="J53" s="1" t="s">
        <v>136</v>
      </c>
      <c r="K53" s="9">
        <v>1.0</v>
      </c>
      <c r="L53" s="9">
        <v>7.0</v>
      </c>
      <c r="M53" s="9" t="str">
        <f t="shared" si="1"/>
        <v>DEFEAT</v>
      </c>
    </row>
    <row r="54">
      <c r="A54" s="9">
        <f t="shared" si="2"/>
        <v>53</v>
      </c>
      <c r="B54" s="1" t="str">
        <f t="array" ref="B54">INDEX(TeamsID!B:B,MATCH(K54,TeamsID!A:A,0))</f>
        <v>Brazukas</v>
      </c>
      <c r="C54" s="1">
        <v>2.0</v>
      </c>
      <c r="D54" s="1" t="str">
        <f t="array" ref="D54">INDEX(TeamsID!B:B,MATCH(L54,TeamsID!A:A,0))</f>
        <v>Fuchester United</v>
      </c>
      <c r="E54" s="1">
        <v>4.0</v>
      </c>
      <c r="F54" s="15">
        <f t="shared" si="7"/>
        <v>44775</v>
      </c>
      <c r="H54" s="1" t="s">
        <v>130</v>
      </c>
      <c r="I54" s="1"/>
      <c r="J54" s="1" t="s">
        <v>136</v>
      </c>
      <c r="K54" s="9">
        <v>1.0</v>
      </c>
      <c r="L54" s="9">
        <v>13.0</v>
      </c>
      <c r="M54" s="9" t="str">
        <f t="shared" si="1"/>
        <v>DEFEAT</v>
      </c>
    </row>
    <row r="55">
      <c r="A55" s="9">
        <f t="shared" si="2"/>
        <v>54</v>
      </c>
      <c r="B55" s="1" t="str">
        <f t="array" ref="B55">INDEX(TeamsID!B:B,MATCH(K55,TeamsID!A:A,0))</f>
        <v>Edge Delta</v>
      </c>
      <c r="C55" s="1">
        <v>0.0</v>
      </c>
      <c r="D55" s="1" t="str">
        <f t="array" ref="D55">INDEX(TeamsID!B:B,MATCH(L55,TeamsID!A:A,0))</f>
        <v>Brazukas</v>
      </c>
      <c r="E55" s="1">
        <v>0.0</v>
      </c>
      <c r="F55" s="15">
        <v>44782.0</v>
      </c>
      <c r="H55" s="1" t="s">
        <v>130</v>
      </c>
      <c r="I55" s="1"/>
      <c r="J55" s="1" t="s">
        <v>136</v>
      </c>
      <c r="K55" s="9">
        <v>15.0</v>
      </c>
      <c r="L55" s="9">
        <v>1.0</v>
      </c>
      <c r="M55" s="9" t="str">
        <f t="shared" si="1"/>
        <v>TIE</v>
      </c>
    </row>
    <row r="56">
      <c r="A56" s="9">
        <f t="shared" si="2"/>
        <v>55</v>
      </c>
      <c r="B56" s="1" t="str">
        <f t="array" ref="B56">INDEX(TeamsID!B:B,MATCH(K56,TeamsID!A:A,0))</f>
        <v>Crouch Potatoes</v>
      </c>
      <c r="C56" s="1">
        <v>5.0</v>
      </c>
      <c r="D56" s="1" t="str">
        <f t="array" ref="D56">INDEX(TeamsID!B:B,MATCH(L56,TeamsID!A:A,0))</f>
        <v>Brazukas</v>
      </c>
      <c r="E56" s="1">
        <v>4.0</v>
      </c>
      <c r="F56" s="15">
        <v>44789.0</v>
      </c>
      <c r="H56" s="1" t="s">
        <v>130</v>
      </c>
      <c r="I56" s="1"/>
      <c r="J56" s="1" t="s">
        <v>136</v>
      </c>
      <c r="K56" s="9">
        <v>14.0</v>
      </c>
      <c r="L56" s="9">
        <v>1.0</v>
      </c>
      <c r="M56" s="9" t="str">
        <f t="shared" si="1"/>
        <v>WIN</v>
      </c>
    </row>
    <row r="57">
      <c r="A57" s="9">
        <f t="shared" si="2"/>
        <v>56</v>
      </c>
      <c r="B57" s="1" t="str">
        <f t="array" ref="B57">INDEX(TeamsID!B:B,MATCH(K57,TeamsID!A:A,0))</f>
        <v>Brazukas</v>
      </c>
      <c r="C57" s="1">
        <v>5.0</v>
      </c>
      <c r="D57" s="1" t="str">
        <f t="array" ref="D57">INDEX(TeamsID!B:B,MATCH(L57,TeamsID!A:A,0))</f>
        <v>Wolves</v>
      </c>
      <c r="E57" s="1">
        <v>9.0</v>
      </c>
      <c r="F57" s="15">
        <v>44796.0</v>
      </c>
      <c r="H57" s="1" t="s">
        <v>130</v>
      </c>
      <c r="I57" s="1"/>
      <c r="J57" s="1" t="s">
        <v>136</v>
      </c>
      <c r="K57" s="9">
        <v>1.0</v>
      </c>
      <c r="L57" s="9">
        <v>16.0</v>
      </c>
      <c r="M57" s="9" t="str">
        <f t="shared" si="1"/>
        <v>DEFEAT</v>
      </c>
    </row>
    <row r="58">
      <c r="A58" s="9">
        <f t="shared" si="2"/>
        <v>57</v>
      </c>
      <c r="B58" s="1" t="str">
        <f t="array" ref="B58">INDEX(TeamsID!B:B,MATCH(K58,TeamsID!A:A,0))</f>
        <v>Un Real</v>
      </c>
      <c r="C58" s="1">
        <v>4.0</v>
      </c>
      <c r="D58" s="1" t="str">
        <f t="array" ref="D58">INDEX(TeamsID!B:B,MATCH(L58,TeamsID!A:A,0))</f>
        <v>Brazukas</v>
      </c>
      <c r="E58" s="1">
        <v>2.0</v>
      </c>
      <c r="F58" s="15">
        <v>44803.0</v>
      </c>
      <c r="H58" s="1" t="s">
        <v>130</v>
      </c>
      <c r="I58" s="1"/>
      <c r="J58" s="1" t="s">
        <v>137</v>
      </c>
      <c r="K58" s="9">
        <v>17.0</v>
      </c>
      <c r="L58" s="9">
        <v>1.0</v>
      </c>
      <c r="M58" s="9" t="str">
        <f t="shared" si="1"/>
        <v>WIN</v>
      </c>
    </row>
    <row r="59">
      <c r="A59" s="9">
        <f t="shared" si="2"/>
        <v>58</v>
      </c>
      <c r="B59" s="1" t="str">
        <f t="array" ref="B59">INDEX(TeamsID!B:B,MATCH(K59,TeamsID!A:A,0))</f>
        <v>Brazukas</v>
      </c>
      <c r="C59" s="1">
        <v>6.0</v>
      </c>
      <c r="D59" s="1" t="str">
        <f t="array" ref="D59">INDEX(TeamsID!B:B,MATCH(L59,TeamsID!A:A,0))</f>
        <v>Advil United</v>
      </c>
      <c r="E59" s="1">
        <v>4.0</v>
      </c>
      <c r="F59" s="15">
        <v>44810.0</v>
      </c>
      <c r="H59" s="1" t="s">
        <v>130</v>
      </c>
      <c r="I59" s="1"/>
      <c r="J59" s="1" t="s">
        <v>137</v>
      </c>
      <c r="K59" s="9">
        <v>1.0</v>
      </c>
      <c r="L59" s="9">
        <v>7.0</v>
      </c>
      <c r="M59" s="9" t="str">
        <f t="shared" si="1"/>
        <v>WIN</v>
      </c>
    </row>
    <row r="60">
      <c r="A60" s="9">
        <f t="shared" si="2"/>
        <v>59</v>
      </c>
      <c r="B60" s="1" t="str">
        <f t="array" ref="B60">INDEX(TeamsID!B:B,MATCH(K60,TeamsID!A:A,0))</f>
        <v>Kroos Control</v>
      </c>
      <c r="C60" s="1">
        <v>1.0</v>
      </c>
      <c r="D60" s="1" t="str">
        <f t="array" ref="D60">INDEX(TeamsID!B:B,MATCH(L60,TeamsID!A:A,0))</f>
        <v>Brazukas</v>
      </c>
      <c r="E60" s="1">
        <v>1.0</v>
      </c>
      <c r="F60" s="15">
        <v>44817.0</v>
      </c>
      <c r="H60" s="1" t="s">
        <v>130</v>
      </c>
      <c r="I60" s="1"/>
      <c r="J60" s="1" t="s">
        <v>137</v>
      </c>
      <c r="K60" s="9">
        <v>18.0</v>
      </c>
      <c r="L60" s="9">
        <v>1.0</v>
      </c>
      <c r="M60" s="9" t="str">
        <f t="shared" si="1"/>
        <v>TIE</v>
      </c>
    </row>
    <row r="61">
      <c r="A61" s="9">
        <f t="shared" si="2"/>
        <v>60</v>
      </c>
      <c r="B61" s="1" t="str">
        <f t="array" ref="B61">INDEX(TeamsID!B:B,MATCH(K61,TeamsID!A:A,0))</f>
        <v>Brazukas</v>
      </c>
      <c r="C61" s="1">
        <v>5.0</v>
      </c>
      <c r="D61" s="1" t="str">
        <f t="array" ref="D61">INDEX(TeamsID!B:B,MATCH(L61,TeamsID!A:A,0))</f>
        <v>Blackfoot Ballers</v>
      </c>
      <c r="E61" s="1">
        <v>5.0</v>
      </c>
      <c r="F61" s="15">
        <v>44824.0</v>
      </c>
      <c r="H61" s="1" t="s">
        <v>130</v>
      </c>
      <c r="I61" s="1"/>
      <c r="J61" s="1" t="s">
        <v>137</v>
      </c>
      <c r="K61" s="9">
        <v>1.0</v>
      </c>
      <c r="L61" s="9">
        <v>5.0</v>
      </c>
      <c r="M61" s="9" t="str">
        <f t="shared" si="1"/>
        <v>TIE</v>
      </c>
    </row>
    <row r="62">
      <c r="A62" s="9">
        <f t="shared" si="2"/>
        <v>61</v>
      </c>
      <c r="B62" s="1" t="str">
        <f t="array" ref="B62">INDEX(TeamsID!B:B,MATCH(K62,TeamsID!A:A,0))</f>
        <v>Brazukas</v>
      </c>
      <c r="C62" s="1">
        <v>4.0</v>
      </c>
      <c r="D62" s="1" t="str">
        <f t="array" ref="D62">INDEX(TeamsID!B:B,MATCH(L62,TeamsID!A:A,0))</f>
        <v>Faceball</v>
      </c>
      <c r="E62" s="1">
        <v>4.0</v>
      </c>
      <c r="F62" s="15">
        <v>44831.0</v>
      </c>
      <c r="H62" s="1" t="s">
        <v>130</v>
      </c>
      <c r="I62" s="1"/>
      <c r="J62" s="1" t="s">
        <v>137</v>
      </c>
      <c r="K62" s="9">
        <v>1.0</v>
      </c>
      <c r="L62" s="9">
        <v>8.0</v>
      </c>
      <c r="M62" s="9" t="str">
        <f t="shared" si="1"/>
        <v>TIE</v>
      </c>
    </row>
    <row r="63">
      <c r="A63" s="9">
        <f t="shared" si="2"/>
        <v>62</v>
      </c>
      <c r="B63" s="1" t="str">
        <f t="array" ref="B63">INDEX(TeamsID!B:B,MATCH(K63,TeamsID!A:A,0))</f>
        <v>Crouch Potatoes</v>
      </c>
      <c r="C63" s="1">
        <v>5.0</v>
      </c>
      <c r="D63" s="1" t="str">
        <f t="array" ref="D63">INDEX(TeamsID!B:B,MATCH(L63,TeamsID!A:A,0))</f>
        <v>Brazukas</v>
      </c>
      <c r="E63" s="1">
        <v>5.0</v>
      </c>
      <c r="F63" s="15">
        <v>44838.0</v>
      </c>
      <c r="H63" s="1" t="s">
        <v>130</v>
      </c>
      <c r="I63" s="1"/>
      <c r="J63" s="1" t="s">
        <v>137</v>
      </c>
      <c r="K63" s="9">
        <v>14.0</v>
      </c>
      <c r="L63" s="9">
        <v>1.0</v>
      </c>
      <c r="M63" s="9" t="str">
        <f t="shared" si="1"/>
        <v>TIE</v>
      </c>
    </row>
    <row r="64">
      <c r="A64" s="9">
        <f t="shared" si="2"/>
        <v>63</v>
      </c>
      <c r="B64" s="1" t="str">
        <f t="array" ref="B64">INDEX(TeamsID!B:B,MATCH(K64,TeamsID!A:A,0))</f>
        <v>Blackfoot Ballers</v>
      </c>
      <c r="C64" s="1">
        <v>7.0</v>
      </c>
      <c r="D64" s="1" t="str">
        <f t="array" ref="D64">INDEX(TeamsID!B:B,MATCH(L64,TeamsID!A:A,0))</f>
        <v>Brazukas</v>
      </c>
      <c r="E64" s="1">
        <v>6.0</v>
      </c>
      <c r="F64" s="15">
        <v>44845.0</v>
      </c>
      <c r="H64" s="1" t="s">
        <v>130</v>
      </c>
      <c r="I64" s="1"/>
      <c r="J64" s="1" t="s">
        <v>138</v>
      </c>
      <c r="K64" s="9">
        <v>5.0</v>
      </c>
      <c r="L64" s="9">
        <v>1.0</v>
      </c>
      <c r="M64" s="9" t="str">
        <f t="shared" si="1"/>
        <v>WIN</v>
      </c>
    </row>
    <row r="65">
      <c r="A65" s="9">
        <f t="shared" si="2"/>
        <v>64</v>
      </c>
      <c r="B65" s="1" t="str">
        <f t="array" ref="B65">INDEX(TeamsID!B:B,MATCH(K65,TeamsID!A:A,0))</f>
        <v>FC #!bash</v>
      </c>
      <c r="C65" s="1">
        <v>6.0</v>
      </c>
      <c r="D65" s="1" t="str">
        <f t="array" ref="D65">INDEX(TeamsID!B:B,MATCH(L65,TeamsID!A:A,0))</f>
        <v>Brazukas</v>
      </c>
      <c r="E65" s="1">
        <v>5.0</v>
      </c>
      <c r="F65" s="15">
        <v>44851.0</v>
      </c>
      <c r="H65" s="1" t="s">
        <v>130</v>
      </c>
      <c r="I65" s="1"/>
      <c r="J65" s="1" t="s">
        <v>138</v>
      </c>
      <c r="K65" s="9">
        <v>19.0</v>
      </c>
      <c r="L65" s="9">
        <v>1.0</v>
      </c>
      <c r="M65" s="9" t="str">
        <f t="shared" si="1"/>
        <v>WIN</v>
      </c>
    </row>
    <row r="66">
      <c r="A66" s="9">
        <f t="shared" si="2"/>
        <v>65</v>
      </c>
      <c r="B66" s="1" t="str">
        <f t="array" ref="B66">INDEX(TeamsID!B:B,MATCH(K66,TeamsID!A:A,0))</f>
        <v>KOMPAS</v>
      </c>
      <c r="C66" s="1">
        <v>5.0</v>
      </c>
      <c r="D66" s="1" t="str">
        <f t="array" ref="D66">INDEX(TeamsID!B:B,MATCH(L66,TeamsID!A:A,0))</f>
        <v>Brazukas</v>
      </c>
      <c r="E66" s="1">
        <v>3.0</v>
      </c>
      <c r="F66" s="15">
        <v>44859.0</v>
      </c>
      <c r="H66" s="1" t="s">
        <v>130</v>
      </c>
      <c r="I66" s="1"/>
      <c r="J66" s="1" t="s">
        <v>138</v>
      </c>
      <c r="K66" s="9">
        <v>6.0</v>
      </c>
      <c r="L66" s="9">
        <v>1.0</v>
      </c>
      <c r="M66" s="9" t="str">
        <f t="shared" si="1"/>
        <v>WIN</v>
      </c>
    </row>
    <row r="67">
      <c r="A67" s="9">
        <f t="shared" si="2"/>
        <v>66</v>
      </c>
      <c r="B67" s="1" t="str">
        <f t="array" ref="B67">INDEX(TeamsID!B:B,MATCH(K67,TeamsID!A:A,0))</f>
        <v>Brazukas</v>
      </c>
      <c r="C67" s="1">
        <v>2.0</v>
      </c>
      <c r="D67" s="1" t="str">
        <f t="array" ref="D67">INDEX(TeamsID!B:B,MATCH(L67,TeamsID!A:A,0))</f>
        <v>Un Real</v>
      </c>
      <c r="E67" s="1">
        <v>5.0</v>
      </c>
      <c r="F67" s="15">
        <f t="shared" ref="F67:F68" si="8">F66+7</f>
        <v>44866</v>
      </c>
      <c r="H67" s="1" t="s">
        <v>130</v>
      </c>
      <c r="I67" s="1"/>
      <c r="J67" s="1" t="s">
        <v>138</v>
      </c>
      <c r="K67" s="9">
        <v>1.0</v>
      </c>
      <c r="L67" s="9">
        <v>17.0</v>
      </c>
      <c r="M67" s="9" t="str">
        <f t="shared" si="1"/>
        <v>DEFEAT</v>
      </c>
    </row>
    <row r="68">
      <c r="A68" s="9">
        <f t="shared" si="2"/>
        <v>67</v>
      </c>
      <c r="B68" s="1" t="str">
        <f t="array" ref="B68">INDEX(TeamsID!B:B,MATCH(K68,TeamsID!A:A,0))</f>
        <v>Brazukas</v>
      </c>
      <c r="C68" s="1">
        <v>2.0</v>
      </c>
      <c r="D68" s="1" t="str">
        <f t="array" ref="D68">INDEX(TeamsID!B:B,MATCH(L68,TeamsID!A:A,0))</f>
        <v>BB 2.0</v>
      </c>
      <c r="E68" s="1">
        <v>4.0</v>
      </c>
      <c r="F68" s="15">
        <f t="shared" si="8"/>
        <v>44873</v>
      </c>
      <c r="H68" s="1" t="s">
        <v>130</v>
      </c>
      <c r="I68" s="1"/>
      <c r="J68" s="1" t="s">
        <v>138</v>
      </c>
      <c r="K68" s="9">
        <v>1.0</v>
      </c>
      <c r="L68" s="9">
        <v>34.0</v>
      </c>
      <c r="M68" s="9" t="str">
        <f t="shared" si="1"/>
        <v>DEFEAT</v>
      </c>
    </row>
    <row r="69">
      <c r="A69" s="9">
        <f t="shared" si="2"/>
        <v>68</v>
      </c>
      <c r="B69" s="1" t="str">
        <f t="array" ref="B69">INDEX(TeamsID!B:B,MATCH(K69,TeamsID!A:A,0))</f>
        <v>Brazukas</v>
      </c>
      <c r="C69" s="1">
        <v>8.0</v>
      </c>
      <c r="D69" s="1" t="str">
        <f t="array" ref="D69">INDEX(TeamsID!B:B,MATCH(L69,TeamsID!A:A,0))</f>
        <v>Fuchester United</v>
      </c>
      <c r="E69" s="1">
        <v>4.0</v>
      </c>
      <c r="F69" s="15">
        <v>44887.0</v>
      </c>
      <c r="H69" s="1" t="s">
        <v>130</v>
      </c>
      <c r="I69" s="1"/>
      <c r="J69" s="1" t="s">
        <v>138</v>
      </c>
      <c r="K69" s="9">
        <v>1.0</v>
      </c>
      <c r="L69" s="9">
        <v>13.0</v>
      </c>
      <c r="M69" s="9" t="str">
        <f t="shared" si="1"/>
        <v>WIN</v>
      </c>
    </row>
    <row r="70">
      <c r="A70" s="9">
        <f t="shared" si="2"/>
        <v>69</v>
      </c>
      <c r="B70" s="1" t="str">
        <f t="array" ref="B70">INDEX(TeamsID!B:B,MATCH(K70,TeamsID!A:A,0))</f>
        <v>Brazukas</v>
      </c>
      <c r="C70" s="1">
        <v>9.0</v>
      </c>
      <c r="D70" s="1" t="str">
        <f t="array" ref="D70">INDEX(TeamsID!B:B,MATCH(L70,TeamsID!A:A,0))</f>
        <v>Supermokh FC</v>
      </c>
      <c r="E70" s="1">
        <v>2.0</v>
      </c>
      <c r="F70" s="15">
        <v>44894.0</v>
      </c>
      <c r="H70" s="1" t="s">
        <v>130</v>
      </c>
      <c r="I70" s="1"/>
      <c r="J70" s="1" t="s">
        <v>138</v>
      </c>
      <c r="K70" s="9">
        <v>1.0</v>
      </c>
      <c r="L70" s="9">
        <v>21.0</v>
      </c>
      <c r="M70" s="9" t="str">
        <f t="shared" si="1"/>
        <v>WIN</v>
      </c>
    </row>
    <row r="71">
      <c r="A71" s="9">
        <f t="shared" si="2"/>
        <v>70</v>
      </c>
      <c r="B71" s="1" t="str">
        <f t="array" ref="B71">INDEX(TeamsID!B:B,MATCH(K71,TeamsID!A:A,0))</f>
        <v>Brazukas</v>
      </c>
      <c r="C71" s="1">
        <v>3.0</v>
      </c>
      <c r="D71" s="1" t="str">
        <f t="array" ref="D71">INDEX(TeamsID!B:B,MATCH(L71,TeamsID!A:A,0))</f>
        <v>Crouch Potatoes</v>
      </c>
      <c r="E71" s="1">
        <v>5.0</v>
      </c>
      <c r="F71" s="15">
        <f t="shared" ref="F71:F72" si="9">F70+7</f>
        <v>44901</v>
      </c>
      <c r="H71" s="1" t="s">
        <v>130</v>
      </c>
      <c r="I71" s="1"/>
      <c r="J71" s="1" t="s">
        <v>138</v>
      </c>
      <c r="K71" s="9">
        <v>1.0</v>
      </c>
      <c r="L71" s="9">
        <v>14.0</v>
      </c>
      <c r="M71" s="9" t="str">
        <f t="shared" si="1"/>
        <v>DEFEAT</v>
      </c>
    </row>
    <row r="72">
      <c r="A72" s="9">
        <f t="shared" si="2"/>
        <v>71</v>
      </c>
      <c r="B72" s="1" t="str">
        <f t="array" ref="B72">INDEX(TeamsID!B:B,MATCH(K72,TeamsID!A:A,0))</f>
        <v>The Mighty Molars</v>
      </c>
      <c r="C72" s="1">
        <v>6.0</v>
      </c>
      <c r="D72" s="1" t="str">
        <f t="array" ref="D72">INDEX(TeamsID!B:B,MATCH(L72,TeamsID!A:A,0))</f>
        <v>Brazukas</v>
      </c>
      <c r="E72" s="1">
        <v>2.0</v>
      </c>
      <c r="F72" s="15">
        <f t="shared" si="9"/>
        <v>44908</v>
      </c>
      <c r="H72" s="1" t="s">
        <v>130</v>
      </c>
      <c r="I72" s="1"/>
      <c r="J72" s="1" t="s">
        <v>138</v>
      </c>
      <c r="K72" s="9">
        <v>20.0</v>
      </c>
      <c r="L72" s="9">
        <v>1.0</v>
      </c>
      <c r="M72" s="9" t="str">
        <f t="shared" si="1"/>
        <v>WIN</v>
      </c>
    </row>
    <row r="73">
      <c r="A73" s="9">
        <f t="shared" si="2"/>
        <v>72</v>
      </c>
      <c r="B73" s="1" t="str">
        <f t="array" ref="B73">INDEX(TeamsID!B:B,MATCH(K73,TeamsID!A:A,0))</f>
        <v>Supermokh FC</v>
      </c>
      <c r="C73" s="1">
        <v>7.0</v>
      </c>
      <c r="D73" s="1" t="str">
        <f t="array" ref="D73">INDEX(TeamsID!B:B,MATCH(L73,TeamsID!A:A,0))</f>
        <v>Brazukas</v>
      </c>
      <c r="E73" s="1">
        <v>6.0</v>
      </c>
      <c r="F73" s="15">
        <v>44928.0</v>
      </c>
      <c r="H73" s="1" t="s">
        <v>130</v>
      </c>
      <c r="I73" s="1"/>
      <c r="J73" s="1" t="s">
        <v>138</v>
      </c>
      <c r="K73" s="9">
        <v>21.0</v>
      </c>
      <c r="L73" s="9">
        <v>1.0</v>
      </c>
      <c r="M73" s="9" t="str">
        <f t="shared" si="1"/>
        <v>WIN</v>
      </c>
    </row>
    <row r="74">
      <c r="A74" s="9">
        <f>A72+1</f>
        <v>72</v>
      </c>
      <c r="B74" s="1" t="str">
        <f t="array" ref="B74">INDEX(TeamsID!B:B,MATCH(K74,TeamsID!A:A,0))</f>
        <v>Advil</v>
      </c>
      <c r="C74" s="1">
        <v>1.0</v>
      </c>
      <c r="D74" s="1" t="str">
        <f t="array" ref="D74">INDEX(TeamsID!B:B,MATCH(L74,TeamsID!A:A,0))</f>
        <v>Brazukas</v>
      </c>
      <c r="E74" s="1">
        <v>4.0</v>
      </c>
      <c r="F74" s="15">
        <v>44936.0</v>
      </c>
      <c r="H74" s="1" t="s">
        <v>130</v>
      </c>
      <c r="I74" s="1"/>
      <c r="J74" s="1" t="s">
        <v>138</v>
      </c>
      <c r="K74" s="9">
        <v>22.0</v>
      </c>
      <c r="L74" s="9">
        <v>1.0</v>
      </c>
      <c r="M74" s="9" t="str">
        <f t="shared" si="1"/>
        <v>DEFEAT</v>
      </c>
    </row>
    <row r="75">
      <c r="A75" s="9">
        <f t="shared" ref="A75:A123" si="10">A74+1</f>
        <v>73</v>
      </c>
      <c r="B75" s="1" t="str">
        <f t="array" ref="B75">INDEX(TeamsID!B:B,MATCH(K75,TeamsID!A:A,0))</f>
        <v>Brazukas</v>
      </c>
      <c r="C75" s="1">
        <v>1.0</v>
      </c>
      <c r="D75" s="1" t="str">
        <f t="array" ref="D75">INDEX(TeamsID!B:B,MATCH(L75,TeamsID!A:A,0))</f>
        <v>Niupi</v>
      </c>
      <c r="E75" s="1">
        <v>3.0</v>
      </c>
      <c r="F75" s="15">
        <v>44939.0</v>
      </c>
      <c r="H75" s="1" t="s">
        <v>130</v>
      </c>
      <c r="I75" s="1"/>
      <c r="J75" s="1" t="s">
        <v>138</v>
      </c>
      <c r="K75" s="9">
        <v>1.0</v>
      </c>
      <c r="L75" s="9">
        <v>40.0</v>
      </c>
      <c r="M75" s="9" t="str">
        <f t="shared" si="1"/>
        <v>DEFEAT</v>
      </c>
    </row>
    <row r="76">
      <c r="A76" s="9">
        <f t="shared" si="10"/>
        <v>74</v>
      </c>
      <c r="B76" s="1" t="str">
        <f t="array" ref="B76">INDEX(TeamsID!B:B,MATCH(K76,TeamsID!A:A,0))</f>
        <v>Brazukas</v>
      </c>
      <c r="C76" s="1">
        <v>1.0</v>
      </c>
      <c r="D76" s="1" t="str">
        <f t="array" ref="D76">INDEX(TeamsID!B:B,MATCH(L76,TeamsID!A:A,0))</f>
        <v>KOMPAS</v>
      </c>
      <c r="E76" s="1">
        <v>0.0</v>
      </c>
      <c r="F76" s="15">
        <v>44943.0</v>
      </c>
      <c r="H76" s="1" t="s">
        <v>130</v>
      </c>
      <c r="I76" s="1"/>
      <c r="J76" s="1" t="s">
        <v>139</v>
      </c>
      <c r="K76" s="9">
        <v>1.0</v>
      </c>
      <c r="L76" s="9">
        <v>6.0</v>
      </c>
      <c r="M76" s="9" t="str">
        <f t="shared" si="1"/>
        <v>WIN</v>
      </c>
    </row>
    <row r="77">
      <c r="A77" s="9">
        <f t="shared" si="10"/>
        <v>75</v>
      </c>
      <c r="B77" s="1" t="str">
        <f t="array" ref="B77">INDEX(TeamsID!B:B,MATCH(K77,TeamsID!A:A,0))</f>
        <v>Brazukas</v>
      </c>
      <c r="C77" s="1">
        <v>3.0</v>
      </c>
      <c r="D77" s="1" t="str">
        <f t="array" ref="D77">INDEX(TeamsID!B:B,MATCH(L77,TeamsID!A:A,0))</f>
        <v>Sitting Ducks</v>
      </c>
      <c r="E77" s="1">
        <v>3.0</v>
      </c>
      <c r="F77" s="15">
        <f t="shared" ref="F77:F87" si="11">F76+7</f>
        <v>44950</v>
      </c>
      <c r="H77" s="1" t="s">
        <v>130</v>
      </c>
      <c r="I77" s="1"/>
      <c r="J77" s="1" t="s">
        <v>139</v>
      </c>
      <c r="K77" s="9">
        <v>1.0</v>
      </c>
      <c r="L77" s="9">
        <v>41.0</v>
      </c>
      <c r="M77" s="9" t="str">
        <f t="shared" si="1"/>
        <v>TIE</v>
      </c>
    </row>
    <row r="78">
      <c r="A78" s="9">
        <f t="shared" si="10"/>
        <v>76</v>
      </c>
      <c r="B78" s="1" t="str">
        <f t="array" ref="B78">INDEX(TeamsID!B:B,MATCH(K78,TeamsID!A:A,0))</f>
        <v>Brazukas</v>
      </c>
      <c r="C78" s="1">
        <v>6.0</v>
      </c>
      <c r="D78" s="1" t="str">
        <f t="array" ref="D78">INDEX(TeamsID!B:B,MATCH(L78,TeamsID!A:A,0))</f>
        <v>Boomers</v>
      </c>
      <c r="E78" s="1">
        <v>9.0</v>
      </c>
      <c r="F78" s="15">
        <f t="shared" si="11"/>
        <v>44957</v>
      </c>
      <c r="H78" s="1" t="s">
        <v>130</v>
      </c>
      <c r="I78" s="1"/>
      <c r="J78" s="1" t="s">
        <v>139</v>
      </c>
      <c r="K78" s="9">
        <v>1.0</v>
      </c>
      <c r="L78" s="9">
        <v>28.0</v>
      </c>
      <c r="M78" s="9" t="str">
        <f t="shared" si="1"/>
        <v>DEFEAT</v>
      </c>
    </row>
    <row r="79">
      <c r="A79" s="9">
        <f t="shared" si="10"/>
        <v>77</v>
      </c>
      <c r="B79" s="1" t="str">
        <f t="array" ref="B79">INDEX(TeamsID!B:B,MATCH(K79,TeamsID!A:A,0))</f>
        <v>Supermokh FC</v>
      </c>
      <c r="C79" s="1">
        <v>5.0</v>
      </c>
      <c r="D79" s="1" t="str">
        <f t="array" ref="D79">INDEX(TeamsID!B:B,MATCH(L79,TeamsID!A:A,0))</f>
        <v>Brazukas</v>
      </c>
      <c r="E79" s="1">
        <v>6.0</v>
      </c>
      <c r="F79" s="15">
        <f t="shared" si="11"/>
        <v>44964</v>
      </c>
      <c r="H79" s="1" t="s">
        <v>130</v>
      </c>
      <c r="I79" s="1"/>
      <c r="J79" s="1" t="s">
        <v>139</v>
      </c>
      <c r="K79" s="9">
        <v>21.0</v>
      </c>
      <c r="L79" s="9">
        <v>1.0</v>
      </c>
      <c r="M79" s="9" t="str">
        <f t="shared" si="1"/>
        <v>DEFEAT</v>
      </c>
    </row>
    <row r="80">
      <c r="A80" s="9">
        <f t="shared" si="10"/>
        <v>78</v>
      </c>
      <c r="B80" s="1" t="str">
        <f t="array" ref="B80">INDEX(TeamsID!B:B,MATCH(K80,TeamsID!A:A,0))</f>
        <v>Brazukas</v>
      </c>
      <c r="C80" s="1">
        <v>4.0</v>
      </c>
      <c r="D80" s="1" t="str">
        <f t="array" ref="D80">INDEX(TeamsID!B:B,MATCH(L80,TeamsID!A:A,0))</f>
        <v>Crouch Potatoes</v>
      </c>
      <c r="E80" s="1">
        <v>7.0</v>
      </c>
      <c r="F80" s="15">
        <f t="shared" si="11"/>
        <v>44971</v>
      </c>
      <c r="H80" s="1" t="s">
        <v>130</v>
      </c>
      <c r="I80" s="1"/>
      <c r="J80" s="1" t="s">
        <v>139</v>
      </c>
      <c r="K80" s="9">
        <v>1.0</v>
      </c>
      <c r="L80" s="9">
        <v>14.0</v>
      </c>
      <c r="M80" s="9" t="str">
        <f t="shared" si="1"/>
        <v>DEFEAT</v>
      </c>
    </row>
    <row r="81">
      <c r="A81" s="9">
        <f t="shared" si="10"/>
        <v>79</v>
      </c>
      <c r="B81" s="1" t="str">
        <f t="array" ref="B81">INDEX(TeamsID!B:B,MATCH(K81,TeamsID!A:A,0))</f>
        <v>Fuchester United</v>
      </c>
      <c r="C81" s="1">
        <v>4.0</v>
      </c>
      <c r="D81" s="1" t="str">
        <f t="array" ref="D81">INDEX(TeamsID!B:B,MATCH(L81,TeamsID!A:A,0))</f>
        <v>Brazukas</v>
      </c>
      <c r="E81" s="1">
        <v>2.0</v>
      </c>
      <c r="F81" s="15">
        <f t="shared" si="11"/>
        <v>44978</v>
      </c>
      <c r="H81" s="1" t="s">
        <v>130</v>
      </c>
      <c r="I81" s="1"/>
      <c r="J81" s="1" t="s">
        <v>139</v>
      </c>
      <c r="K81" s="9">
        <v>13.0</v>
      </c>
      <c r="L81" s="9">
        <v>1.0</v>
      </c>
      <c r="M81" s="9" t="str">
        <f t="shared" si="1"/>
        <v>WIN</v>
      </c>
    </row>
    <row r="82">
      <c r="A82" s="9">
        <f t="shared" si="10"/>
        <v>80</v>
      </c>
      <c r="B82" s="1" t="str">
        <f t="array" ref="B82">INDEX(TeamsID!B:B,MATCH(K82,TeamsID!A:A,0))</f>
        <v>Tuesday Gold</v>
      </c>
      <c r="C82" s="1">
        <v>5.0</v>
      </c>
      <c r="D82" s="1" t="str">
        <f t="array" ref="D82">INDEX(TeamsID!B:B,MATCH(L82,TeamsID!A:A,0))</f>
        <v>Brazukas</v>
      </c>
      <c r="E82" s="1">
        <v>5.0</v>
      </c>
      <c r="F82" s="15">
        <f t="shared" si="11"/>
        <v>44985</v>
      </c>
      <c r="H82" s="1" t="s">
        <v>130</v>
      </c>
      <c r="I82" s="1"/>
      <c r="J82" s="1" t="s">
        <v>139</v>
      </c>
      <c r="K82" s="9">
        <v>23.0</v>
      </c>
      <c r="L82" s="9">
        <v>1.0</v>
      </c>
      <c r="M82" s="9" t="str">
        <f t="shared" si="1"/>
        <v>TIE</v>
      </c>
    </row>
    <row r="83">
      <c r="A83" s="9">
        <f t="shared" si="10"/>
        <v>81</v>
      </c>
      <c r="B83" s="1" t="str">
        <f t="array" ref="B83">INDEX(TeamsID!B:B,MATCH(K83,TeamsID!A:A,0))</f>
        <v>FC #!bash</v>
      </c>
      <c r="C83" s="1">
        <v>2.0</v>
      </c>
      <c r="D83" s="1" t="str">
        <f t="array" ref="D83">INDEX(TeamsID!B:B,MATCH(L83,TeamsID!A:A,0))</f>
        <v>Brazukas</v>
      </c>
      <c r="E83" s="1">
        <v>7.0</v>
      </c>
      <c r="F83" s="15">
        <f t="shared" si="11"/>
        <v>44992</v>
      </c>
      <c r="H83" s="1" t="s">
        <v>130</v>
      </c>
      <c r="I83" s="1"/>
      <c r="J83" s="1" t="s">
        <v>139</v>
      </c>
      <c r="K83" s="9">
        <v>19.0</v>
      </c>
      <c r="L83" s="9">
        <v>1.0</v>
      </c>
      <c r="M83" s="9" t="str">
        <f t="shared" si="1"/>
        <v>DEFEAT</v>
      </c>
    </row>
    <row r="84">
      <c r="A84" s="9">
        <f t="shared" si="10"/>
        <v>82</v>
      </c>
      <c r="B84" s="1" t="str">
        <f t="array" ref="B84">INDEX(TeamsID!B:B,MATCH(K84,TeamsID!A:A,0))</f>
        <v>Brazukas</v>
      </c>
      <c r="C84" s="1">
        <v>4.0</v>
      </c>
      <c r="D84" s="1" t="str">
        <f t="array" ref="D84">INDEX(TeamsID!B:B,MATCH(L84,TeamsID!A:A,0))</f>
        <v>Niupi</v>
      </c>
      <c r="E84" s="1">
        <v>9.0</v>
      </c>
      <c r="F84" s="15">
        <f t="shared" si="11"/>
        <v>44999</v>
      </c>
      <c r="H84" s="1" t="s">
        <v>130</v>
      </c>
      <c r="I84" s="1"/>
      <c r="J84" s="1" t="s">
        <v>139</v>
      </c>
      <c r="K84" s="9">
        <v>1.0</v>
      </c>
      <c r="L84" s="9">
        <v>40.0</v>
      </c>
      <c r="M84" s="9" t="str">
        <f t="shared" si="1"/>
        <v>DEFEAT</v>
      </c>
    </row>
    <row r="85">
      <c r="A85" s="9">
        <f t="shared" si="10"/>
        <v>83</v>
      </c>
      <c r="B85" s="1" t="str">
        <f t="array" ref="B85">INDEX(TeamsID!B:B,MATCH(K85,TeamsID!A:A,0))</f>
        <v>Husar</v>
      </c>
      <c r="C85" s="1">
        <v>7.0</v>
      </c>
      <c r="D85" s="1" t="str">
        <f t="array" ref="D85">INDEX(TeamsID!B:B,MATCH(L85,TeamsID!A:A,0))</f>
        <v>Brazukas</v>
      </c>
      <c r="E85" s="1">
        <v>4.0</v>
      </c>
      <c r="F85" s="15">
        <f t="shared" si="11"/>
        <v>45006</v>
      </c>
      <c r="H85" s="1" t="s">
        <v>130</v>
      </c>
      <c r="I85" s="1"/>
      <c r="J85" s="1" t="s">
        <v>139</v>
      </c>
      <c r="K85" s="9">
        <v>4.0</v>
      </c>
      <c r="L85" s="9">
        <v>1.0</v>
      </c>
      <c r="M85" s="9" t="str">
        <f t="shared" si="1"/>
        <v>WIN</v>
      </c>
    </row>
    <row r="86">
      <c r="A86" s="9">
        <f t="shared" si="10"/>
        <v>84</v>
      </c>
      <c r="B86" s="1" t="str">
        <f t="array" ref="B86">INDEX(TeamsID!B:B,MATCH(K86,TeamsID!A:A,0))</f>
        <v>Mid Field Crisis</v>
      </c>
      <c r="C86" s="1">
        <v>0.0</v>
      </c>
      <c r="D86" s="1" t="str">
        <f t="array" ref="D86">INDEX(TeamsID!B:B,MATCH(L86,TeamsID!A:A,0))</f>
        <v>Brazukas</v>
      </c>
      <c r="E86" s="1">
        <v>6.0</v>
      </c>
      <c r="F86" s="15">
        <f t="shared" si="11"/>
        <v>45013</v>
      </c>
      <c r="H86" s="1" t="s">
        <v>130</v>
      </c>
      <c r="I86" s="1"/>
      <c r="J86" s="1" t="s">
        <v>139</v>
      </c>
      <c r="K86" s="9">
        <v>24.0</v>
      </c>
      <c r="L86" s="9">
        <v>1.0</v>
      </c>
      <c r="M86" s="9" t="str">
        <f t="shared" si="1"/>
        <v>DEFEAT</v>
      </c>
    </row>
    <row r="87">
      <c r="A87" s="9">
        <f t="shared" si="10"/>
        <v>85</v>
      </c>
      <c r="B87" s="1" t="str">
        <f t="array" ref="B87">INDEX(TeamsID!B:B,MATCH(K87,TeamsID!A:A,0))</f>
        <v>Brazukas</v>
      </c>
      <c r="C87" s="1">
        <v>2.0</v>
      </c>
      <c r="D87" s="1" t="str">
        <f t="array" ref="D87">INDEX(TeamsID!B:B,MATCH(L87,TeamsID!A:A,0))</f>
        <v>Blackfoot Ballers</v>
      </c>
      <c r="E87" s="1">
        <v>4.0</v>
      </c>
      <c r="F87" s="15">
        <f t="shared" si="11"/>
        <v>45020</v>
      </c>
      <c r="H87" s="1" t="s">
        <v>130</v>
      </c>
      <c r="I87" s="1"/>
      <c r="J87" s="1" t="s">
        <v>139</v>
      </c>
      <c r="K87" s="9">
        <v>1.0</v>
      </c>
      <c r="L87" s="9">
        <v>5.0</v>
      </c>
      <c r="M87" s="9" t="str">
        <f t="shared" si="1"/>
        <v>DEFEAT</v>
      </c>
    </row>
    <row r="88">
      <c r="A88" s="9">
        <f t="shared" si="10"/>
        <v>86</v>
      </c>
      <c r="B88" s="1" t="str">
        <f t="array" ref="B88">INDEX(TeamsID!B:B,MATCH(K88,TeamsID!A:A,0))</f>
        <v>Crouch Potatoes</v>
      </c>
      <c r="C88" s="1">
        <v>2.0</v>
      </c>
      <c r="D88" s="1" t="str">
        <f t="array" ref="D88">INDEX(TeamsID!B:B,MATCH(L88,TeamsID!A:A,0))</f>
        <v>Brazukas</v>
      </c>
      <c r="E88" s="1">
        <v>4.0</v>
      </c>
      <c r="F88" s="15">
        <v>45034.0</v>
      </c>
      <c r="H88" s="1" t="s">
        <v>130</v>
      </c>
      <c r="I88" s="1"/>
      <c r="J88" s="1" t="s">
        <v>140</v>
      </c>
      <c r="K88" s="9">
        <v>25.0</v>
      </c>
      <c r="L88" s="9">
        <v>1.0</v>
      </c>
      <c r="M88" s="9" t="str">
        <f t="shared" si="1"/>
        <v>DEFEAT</v>
      </c>
    </row>
    <row r="89">
      <c r="A89" s="9">
        <f t="shared" si="10"/>
        <v>87</v>
      </c>
      <c r="B89" s="1" t="str">
        <f t="array" ref="B89">INDEX(TeamsID!B:B,MATCH(K89,TeamsID!A:A,0))</f>
        <v>Brazukas</v>
      </c>
      <c r="C89" s="1">
        <v>4.0</v>
      </c>
      <c r="D89" s="1" t="str">
        <f t="array" ref="D89">INDEX(TeamsID!B:B,MATCH(L89,TeamsID!A:A,0))</f>
        <v>Blackfoot Ballers</v>
      </c>
      <c r="E89" s="1">
        <v>5.0</v>
      </c>
      <c r="F89" s="15">
        <f>F88+7</f>
        <v>45041</v>
      </c>
      <c r="H89" s="1" t="s">
        <v>130</v>
      </c>
      <c r="I89" s="1"/>
      <c r="J89" s="1" t="s">
        <v>140</v>
      </c>
      <c r="K89" s="9">
        <v>1.0</v>
      </c>
      <c r="L89" s="9">
        <v>5.0</v>
      </c>
      <c r="M89" s="9" t="str">
        <f t="shared" si="1"/>
        <v>DEFEAT</v>
      </c>
    </row>
    <row r="90">
      <c r="A90" s="9">
        <f t="shared" si="10"/>
        <v>88</v>
      </c>
      <c r="B90" s="1" t="str">
        <f t="array" ref="B90">INDEX(TeamsID!B:B,MATCH(K90,TeamsID!A:A,0))</f>
        <v>Axolotls</v>
      </c>
      <c r="C90" s="1">
        <v>4.0</v>
      </c>
      <c r="D90" s="1" t="str">
        <f t="array" ref="D90">INDEX(TeamsID!B:B,MATCH(L90,TeamsID!A:A,0))</f>
        <v>Brazukas</v>
      </c>
      <c r="E90" s="1">
        <v>6.0</v>
      </c>
      <c r="F90" s="15">
        <v>45048.0</v>
      </c>
      <c r="H90" s="1" t="s">
        <v>141</v>
      </c>
      <c r="I90" s="1"/>
      <c r="J90" s="1" t="s">
        <v>140</v>
      </c>
      <c r="K90" s="9">
        <v>26.0</v>
      </c>
      <c r="L90" s="9">
        <v>1.0</v>
      </c>
      <c r="M90" s="9" t="str">
        <f t="shared" si="1"/>
        <v>DEFEAT</v>
      </c>
    </row>
    <row r="91">
      <c r="A91" s="9">
        <f t="shared" si="10"/>
        <v>89</v>
      </c>
      <c r="B91" s="1" t="str">
        <f t="array" ref="B91">INDEX(TeamsID!B:B,MATCH(K91,TeamsID!A:A,0))</f>
        <v>Semi-Pro Conductors</v>
      </c>
      <c r="C91" s="1">
        <v>4.0</v>
      </c>
      <c r="D91" s="1" t="str">
        <f t="array" ref="D91">INDEX(TeamsID!B:B,MATCH(L91,TeamsID!A:A,0))</f>
        <v>Brazukas</v>
      </c>
      <c r="E91" s="1">
        <v>4.0</v>
      </c>
      <c r="F91" s="15">
        <v>45055.0</v>
      </c>
      <c r="H91" s="1" t="s">
        <v>130</v>
      </c>
      <c r="I91" s="1"/>
      <c r="J91" s="1" t="s">
        <v>140</v>
      </c>
      <c r="K91" s="9">
        <v>27.0</v>
      </c>
      <c r="L91" s="9">
        <v>1.0</v>
      </c>
      <c r="M91" s="9" t="str">
        <f t="shared" si="1"/>
        <v>TIE</v>
      </c>
    </row>
    <row r="92">
      <c r="A92" s="9">
        <f t="shared" si="10"/>
        <v>90</v>
      </c>
      <c r="B92" s="1" t="str">
        <f t="array" ref="B92">INDEX(TeamsID!B:B,MATCH(K92,TeamsID!A:A,0))</f>
        <v>Boomers</v>
      </c>
      <c r="C92" s="1">
        <v>4.0</v>
      </c>
      <c r="D92" s="1" t="str">
        <f t="array" ref="D92">INDEX(TeamsID!B:B,MATCH(L92,TeamsID!A:A,0))</f>
        <v>Brazukas</v>
      </c>
      <c r="E92" s="1">
        <v>8.0</v>
      </c>
      <c r="F92" s="15">
        <v>45062.0</v>
      </c>
      <c r="H92" s="1" t="s">
        <v>130</v>
      </c>
      <c r="I92" s="1"/>
      <c r="J92" s="1" t="s">
        <v>140</v>
      </c>
      <c r="K92" s="9">
        <v>28.0</v>
      </c>
      <c r="L92" s="9">
        <v>1.0</v>
      </c>
      <c r="M92" s="9" t="str">
        <f t="shared" si="1"/>
        <v>DEFEAT</v>
      </c>
    </row>
    <row r="93">
      <c r="A93" s="9">
        <f t="shared" si="10"/>
        <v>91</v>
      </c>
      <c r="B93" s="1" t="str">
        <f t="array" ref="B93">INDEX(TeamsID!B:B,MATCH(K93,TeamsID!A:A,0))</f>
        <v>Brazukas</v>
      </c>
      <c r="C93" s="1">
        <v>4.0</v>
      </c>
      <c r="D93" s="1" t="str">
        <f t="array" ref="D93">INDEX(TeamsID!B:B,MATCH(L93,TeamsID!A:A,0))</f>
        <v>Sitting Ducks</v>
      </c>
      <c r="E93" s="1">
        <v>4.0</v>
      </c>
      <c r="F93" s="15">
        <v>45068.0</v>
      </c>
      <c r="H93" s="1" t="s">
        <v>130</v>
      </c>
      <c r="I93" s="1"/>
      <c r="J93" s="1" t="s">
        <v>140</v>
      </c>
      <c r="K93" s="9">
        <v>1.0</v>
      </c>
      <c r="L93" s="9">
        <v>41.0</v>
      </c>
      <c r="M93" s="9" t="str">
        <f t="shared" si="1"/>
        <v>TIE</v>
      </c>
    </row>
    <row r="94">
      <c r="A94" s="9">
        <f t="shared" si="10"/>
        <v>92</v>
      </c>
      <c r="B94" s="1" t="str">
        <f t="array" ref="B94">INDEX(TeamsID!B:B,MATCH(K94,TeamsID!A:A,0))</f>
        <v>Brazukas</v>
      </c>
      <c r="D94" s="1" t="str">
        <f t="array" ref="D94">INDEX(TeamsID!B:B,MATCH(L94,TeamsID!A:A,0))</f>
        <v>magniFC</v>
      </c>
      <c r="F94" s="15">
        <v>45076.0</v>
      </c>
      <c r="H94" s="1" t="s">
        <v>130</v>
      </c>
      <c r="I94" s="1"/>
      <c r="J94" s="1" t="s">
        <v>140</v>
      </c>
      <c r="K94" s="9">
        <v>1.0</v>
      </c>
      <c r="L94" s="9">
        <v>42.0</v>
      </c>
      <c r="M94" s="9" t="str">
        <f t="shared" si="1"/>
        <v>TIE</v>
      </c>
    </row>
    <row r="95">
      <c r="A95" s="9">
        <f t="shared" si="10"/>
        <v>93</v>
      </c>
      <c r="B95" s="1" t="str">
        <f t="array" ref="B95">INDEX(TeamsID!B:B,MATCH(K95,TeamsID!A:A,0))</f>
        <v>Brazukas</v>
      </c>
      <c r="D95" s="1" t="str">
        <f t="array" ref="D95">INDEX(TeamsID!B:B,MATCH(L95,TeamsID!A:A,0))</f>
        <v>KOMPAS</v>
      </c>
      <c r="F95" s="15">
        <v>45083.0</v>
      </c>
      <c r="H95" s="1" t="s">
        <v>130</v>
      </c>
      <c r="I95" s="1"/>
      <c r="J95" s="1" t="s">
        <v>140</v>
      </c>
      <c r="K95" s="9">
        <v>1.0</v>
      </c>
      <c r="L95" s="9">
        <v>6.0</v>
      </c>
      <c r="M95" s="9" t="str">
        <f t="shared" si="1"/>
        <v>TIE</v>
      </c>
    </row>
    <row r="96">
      <c r="A96" s="9">
        <f t="shared" si="10"/>
        <v>94</v>
      </c>
      <c r="B96" s="1" t="str">
        <f t="array" ref="B96">INDEX(TeamsID!B:B,MATCH(K96,TeamsID!A:A,0))</f>
        <v>Brazukas</v>
      </c>
      <c r="D96" s="1" t="str">
        <f t="array" ref="D96">INDEX(TeamsID!B:B,MATCH(L96,TeamsID!A:A,0))</f>
        <v>Fuchester United</v>
      </c>
      <c r="F96" s="15">
        <v>45090.0</v>
      </c>
      <c r="H96" s="1" t="s">
        <v>130</v>
      </c>
      <c r="I96" s="1"/>
      <c r="J96" s="1" t="s">
        <v>140</v>
      </c>
      <c r="K96" s="9">
        <v>1.0</v>
      </c>
      <c r="L96" s="9">
        <v>13.0</v>
      </c>
      <c r="M96" s="9" t="str">
        <f t="shared" si="1"/>
        <v>TIE</v>
      </c>
    </row>
    <row r="97">
      <c r="A97" s="9">
        <f t="shared" si="10"/>
        <v>95</v>
      </c>
      <c r="B97" s="1" t="str">
        <f t="array" ref="B97">INDEX(TeamsID!B:B,MATCH(K97,TeamsID!A:A,0))</f>
        <v>Brazukas</v>
      </c>
      <c r="D97" s="1" t="str">
        <f t="array" ref="D97">INDEX(TeamsID!B:B,MATCH(L97,TeamsID!A:A,0))</f>
        <v>FC #!bash</v>
      </c>
      <c r="F97" s="15">
        <v>45097.0</v>
      </c>
      <c r="H97" s="1" t="s">
        <v>130</v>
      </c>
      <c r="I97" s="1"/>
      <c r="J97" s="1" t="s">
        <v>140</v>
      </c>
      <c r="K97" s="9">
        <v>1.0</v>
      </c>
      <c r="L97" s="9">
        <v>19.0</v>
      </c>
      <c r="M97" s="9" t="str">
        <f t="shared" si="1"/>
        <v>TIE</v>
      </c>
    </row>
    <row r="98">
      <c r="A98" s="9">
        <f t="shared" si="10"/>
        <v>96</v>
      </c>
      <c r="B98" s="1" t="str">
        <f t="array" ref="B98">INDEX(TeamsID!B:B,MATCH(K98,TeamsID!A:A,0))</f>
        <v>Crouch Potatoes</v>
      </c>
      <c r="D98" s="1" t="str">
        <f t="array" ref="D98">INDEX(TeamsID!B:B,MATCH(L98,TeamsID!A:A,0))</f>
        <v>Brazukas</v>
      </c>
      <c r="F98" s="15">
        <v>45104.0</v>
      </c>
      <c r="H98" s="1" t="s">
        <v>130</v>
      </c>
      <c r="I98" s="1"/>
      <c r="J98" s="1" t="s">
        <v>140</v>
      </c>
      <c r="K98" s="9">
        <v>25.0</v>
      </c>
      <c r="L98" s="9">
        <v>1.0</v>
      </c>
      <c r="M98" s="9" t="str">
        <f t="shared" si="1"/>
        <v>TIE</v>
      </c>
    </row>
    <row r="99" ht="13.5" customHeight="1">
      <c r="A99" s="9">
        <f t="shared" si="10"/>
        <v>97</v>
      </c>
      <c r="B99" s="1" t="str">
        <f t="array" ref="B99">INDEX(TeamsID!B:B,MATCH(K99,TeamsID!A:A,0))</f>
        <v>Blackfoot Ballers</v>
      </c>
      <c r="D99" s="1" t="str">
        <f t="array" ref="D99">INDEX(TeamsID!B:B,MATCH(L99,TeamsID!A:A,0))</f>
        <v>Brazukas</v>
      </c>
      <c r="F99" s="15">
        <v>45104.0</v>
      </c>
      <c r="H99" s="1" t="s">
        <v>130</v>
      </c>
      <c r="I99" s="1"/>
      <c r="J99" s="1" t="s">
        <v>140</v>
      </c>
      <c r="K99" s="9">
        <v>5.0</v>
      </c>
      <c r="L99" s="9">
        <v>1.0</v>
      </c>
      <c r="M99" s="9" t="str">
        <f t="shared" si="1"/>
        <v>TIE</v>
      </c>
    </row>
    <row r="100">
      <c r="A100" s="9">
        <f t="shared" si="10"/>
        <v>98</v>
      </c>
      <c r="B100" s="1" t="str">
        <f t="array" ref="B100">INDEX(TeamsID!B:B,MATCH(K100,TeamsID!A:A,0))</f>
        <v>The Roaring Eagles</v>
      </c>
      <c r="C100" s="1">
        <v>4.0</v>
      </c>
      <c r="D100" s="1" t="str">
        <f t="array" ref="D100">INDEX(TeamsID!B:B,MATCH(L100,TeamsID!A:A,0))</f>
        <v>RECEBA FC</v>
      </c>
      <c r="E100" s="1">
        <v>3.0</v>
      </c>
      <c r="F100" s="15">
        <v>44945.0</v>
      </c>
      <c r="H100" s="1" t="s">
        <v>142</v>
      </c>
      <c r="I100" s="1" t="s">
        <v>143</v>
      </c>
      <c r="J100" s="1" t="s">
        <v>144</v>
      </c>
      <c r="K100" s="9">
        <v>29.0</v>
      </c>
      <c r="L100" s="9">
        <v>2.0</v>
      </c>
      <c r="M100" s="9" t="str">
        <f t="shared" si="1"/>
        <v>WIN</v>
      </c>
    </row>
    <row r="101">
      <c r="A101" s="9">
        <f t="shared" si="10"/>
        <v>99</v>
      </c>
      <c r="B101" s="1" t="str">
        <f t="array" ref="B101">INDEX(TeamsID!B:B,MATCH(K101,TeamsID!A:A,0))</f>
        <v>FC Allegro</v>
      </c>
      <c r="C101" s="1">
        <v>7.0</v>
      </c>
      <c r="D101" s="1" t="str">
        <f t="array" ref="D101">INDEX(TeamsID!B:B,MATCH(L101,TeamsID!A:A,0))</f>
        <v>RECEBA FC</v>
      </c>
      <c r="E101" s="1">
        <v>15.0</v>
      </c>
      <c r="F101" s="15">
        <f t="shared" ref="F101:F103" si="12">F102-7</f>
        <v>44959</v>
      </c>
      <c r="H101" s="1" t="s">
        <v>142</v>
      </c>
      <c r="I101" s="1" t="s">
        <v>145</v>
      </c>
      <c r="J101" s="1" t="s">
        <v>144</v>
      </c>
      <c r="K101" s="9">
        <v>30.0</v>
      </c>
      <c r="L101" s="9">
        <v>2.0</v>
      </c>
      <c r="M101" s="9" t="str">
        <f t="shared" si="1"/>
        <v>DEFEAT</v>
      </c>
    </row>
    <row r="102">
      <c r="A102" s="9">
        <f t="shared" si="10"/>
        <v>100</v>
      </c>
      <c r="B102" s="1" t="str">
        <f t="array" ref="B102">INDEX(TeamsID!B:B,MATCH(K102,TeamsID!A:A,0))</f>
        <v>Kharkiv Football Club</v>
      </c>
      <c r="C102" s="1">
        <v>3.0</v>
      </c>
      <c r="D102" s="1" t="str">
        <f t="array" ref="D102">INDEX(TeamsID!B:B,MATCH(L102,TeamsID!A:A,0))</f>
        <v>RECEBA FC</v>
      </c>
      <c r="E102" s="1">
        <v>3.0</v>
      </c>
      <c r="F102" s="15">
        <f t="shared" si="12"/>
        <v>44966</v>
      </c>
      <c r="H102" s="1" t="s">
        <v>142</v>
      </c>
      <c r="I102" s="1" t="s">
        <v>146</v>
      </c>
      <c r="J102" s="1" t="s">
        <v>144</v>
      </c>
      <c r="K102" s="9">
        <v>31.0</v>
      </c>
      <c r="L102" s="9">
        <v>2.0</v>
      </c>
      <c r="M102" s="9" t="str">
        <f t="shared" si="1"/>
        <v>TIE</v>
      </c>
    </row>
    <row r="103">
      <c r="A103" s="9">
        <f t="shared" si="10"/>
        <v>101</v>
      </c>
      <c r="B103" s="1" t="str">
        <f t="array" ref="B103">INDEX(TeamsID!B:B,MATCH(K103,TeamsID!A:A,0))</f>
        <v>RECEBA FC</v>
      </c>
      <c r="C103" s="1">
        <v>9.0</v>
      </c>
      <c r="D103" s="1" t="str">
        <f t="array" ref="D103">INDEX(TeamsID!B:B,MATCH(L103,TeamsID!A:A,0))</f>
        <v>Kernel FC</v>
      </c>
      <c r="E103" s="1">
        <v>3.0</v>
      </c>
      <c r="F103" s="15">
        <f t="shared" si="12"/>
        <v>44973</v>
      </c>
      <c r="H103" s="1" t="s">
        <v>142</v>
      </c>
      <c r="I103" s="1" t="s">
        <v>143</v>
      </c>
      <c r="J103" s="1" t="s">
        <v>144</v>
      </c>
      <c r="K103" s="9">
        <v>2.0</v>
      </c>
      <c r="L103" s="9">
        <v>43.0</v>
      </c>
      <c r="M103" s="9" t="str">
        <f t="shared" si="1"/>
        <v>WIN</v>
      </c>
    </row>
    <row r="104">
      <c r="A104" s="9">
        <f t="shared" si="10"/>
        <v>102</v>
      </c>
      <c r="B104" s="1" t="str">
        <f t="array" ref="B104">INDEX(TeamsID!B:B,MATCH(K104,TeamsID!A:A,0))</f>
        <v>RECEBA FC</v>
      </c>
      <c r="C104" s="1">
        <v>5.0</v>
      </c>
      <c r="D104" s="1" t="str">
        <f t="array" ref="D104">INDEX(TeamsID!B:B,MATCH(L104,TeamsID!A:A,0))</f>
        <v>Rocket Shots II</v>
      </c>
      <c r="E104" s="1">
        <v>5.0</v>
      </c>
      <c r="F104" s="15">
        <v>44980.0</v>
      </c>
      <c r="H104" s="1" t="s">
        <v>142</v>
      </c>
      <c r="I104" s="1" t="s">
        <v>143</v>
      </c>
      <c r="J104" s="1" t="s">
        <v>144</v>
      </c>
      <c r="K104" s="9">
        <v>2.0</v>
      </c>
      <c r="L104" s="9">
        <v>33.0</v>
      </c>
      <c r="M104" s="9" t="str">
        <f t="shared" si="1"/>
        <v>TIE</v>
      </c>
    </row>
    <row r="105">
      <c r="A105" s="9">
        <f t="shared" si="10"/>
        <v>103</v>
      </c>
      <c r="B105" s="1" t="str">
        <f t="array" ref="B105">INDEX(TeamsID!B:B,MATCH(K105,TeamsID!A:A,0))</f>
        <v>RECEBA FC</v>
      </c>
      <c r="C105" s="1">
        <v>9.0</v>
      </c>
      <c r="D105" s="1" t="str">
        <f t="array" ref="D105">INDEX(TeamsID!B:B,MATCH(L105,TeamsID!A:A,0))</f>
        <v>Half Boiled Eggs</v>
      </c>
      <c r="E105" s="1">
        <v>8.0</v>
      </c>
      <c r="F105" s="15">
        <v>44984.0</v>
      </c>
      <c r="H105" s="1" t="s">
        <v>142</v>
      </c>
      <c r="I105" s="1" t="s">
        <v>143</v>
      </c>
      <c r="J105" s="1" t="s">
        <v>144</v>
      </c>
      <c r="K105" s="9">
        <v>2.0</v>
      </c>
      <c r="L105" s="9">
        <v>44.0</v>
      </c>
      <c r="M105" s="9" t="str">
        <f t="shared" si="1"/>
        <v>WIN</v>
      </c>
    </row>
    <row r="106">
      <c r="A106" s="9">
        <f t="shared" si="10"/>
        <v>104</v>
      </c>
      <c r="B106" s="1" t="str">
        <f t="array" ref="B106">INDEX(TeamsID!B:B,MATCH(K106,TeamsID!A:A,0))</f>
        <v>RECEBA FC</v>
      </c>
      <c r="C106" s="1">
        <v>6.0</v>
      </c>
      <c r="D106" s="1" t="str">
        <f t="array" ref="D106">INDEX(TeamsID!B:B,MATCH(L106,TeamsID!A:A,0))</f>
        <v>Do it again!</v>
      </c>
      <c r="E106" s="1">
        <v>3.0</v>
      </c>
      <c r="F106" s="15">
        <v>44994.0</v>
      </c>
      <c r="H106" s="1" t="s">
        <v>142</v>
      </c>
      <c r="I106" s="1" t="s">
        <v>143</v>
      </c>
      <c r="J106" s="1" t="s">
        <v>144</v>
      </c>
      <c r="K106" s="9">
        <v>2.0</v>
      </c>
      <c r="L106" s="9">
        <v>45.0</v>
      </c>
      <c r="M106" s="9" t="str">
        <f t="shared" si="1"/>
        <v>WIN</v>
      </c>
    </row>
    <row r="107">
      <c r="A107" s="9">
        <f t="shared" si="10"/>
        <v>105</v>
      </c>
      <c r="B107" s="1" t="str">
        <f t="array" ref="B107">INDEX(TeamsID!B:B,MATCH(K107,TeamsID!A:A,0))</f>
        <v>The Roaring Eagles</v>
      </c>
      <c r="C107" s="1">
        <v>0.0</v>
      </c>
      <c r="D107" s="1" t="str">
        <f t="array" ref="D107">INDEX(TeamsID!B:B,MATCH(L107,TeamsID!A:A,0))</f>
        <v>RECEBA FC</v>
      </c>
      <c r="E107" s="1">
        <v>11.0</v>
      </c>
      <c r="F107" s="15">
        <v>45008.0</v>
      </c>
      <c r="H107" s="1" t="s">
        <v>142</v>
      </c>
      <c r="I107" s="1" t="s">
        <v>146</v>
      </c>
      <c r="J107" s="1" t="s">
        <v>144</v>
      </c>
      <c r="K107" s="9">
        <v>29.0</v>
      </c>
      <c r="L107" s="9">
        <v>2.0</v>
      </c>
      <c r="M107" s="9" t="str">
        <f t="shared" si="1"/>
        <v>DEFEAT</v>
      </c>
    </row>
    <row r="108">
      <c r="A108" s="9">
        <f t="shared" si="10"/>
        <v>106</v>
      </c>
      <c r="B108" s="1" t="str">
        <f t="array" ref="B108">INDEX(TeamsID!B:B,MATCH(K108,TeamsID!A:A,0))</f>
        <v>Chaos!</v>
      </c>
      <c r="C108" s="1">
        <v>3.0</v>
      </c>
      <c r="D108" s="1" t="str">
        <f t="array" ref="D108">INDEX(TeamsID!B:B,MATCH(L108,TeamsID!A:A,0))</f>
        <v>RECEBA FC</v>
      </c>
      <c r="E108" s="1">
        <v>8.0</v>
      </c>
      <c r="F108" s="15">
        <v>45021.0</v>
      </c>
      <c r="H108" s="1" t="s">
        <v>142</v>
      </c>
      <c r="I108" s="1" t="s">
        <v>146</v>
      </c>
      <c r="J108" s="1" t="s">
        <v>144</v>
      </c>
      <c r="K108" s="9">
        <v>32.0</v>
      </c>
      <c r="L108" s="9">
        <v>2.0</v>
      </c>
      <c r="M108" s="9" t="str">
        <f t="shared" si="1"/>
        <v>DEFEAT</v>
      </c>
    </row>
    <row r="109">
      <c r="A109" s="9">
        <f t="shared" si="10"/>
        <v>107</v>
      </c>
      <c r="B109" s="1" t="str">
        <f t="array" ref="B109">INDEX(TeamsID!B:B,MATCH(K109,TeamsID!A:A,0))</f>
        <v>FC Allegro</v>
      </c>
      <c r="C109" s="1">
        <v>2.0</v>
      </c>
      <c r="D109" s="1" t="str">
        <f t="array" ref="D109">INDEX(TeamsID!B:B,MATCH(L109,TeamsID!A:A,0))</f>
        <v>RECEBA FC</v>
      </c>
      <c r="E109" s="1">
        <v>7.0</v>
      </c>
      <c r="F109" s="15">
        <f t="shared" ref="F109:F110" si="13">F110-7</f>
        <v>45022</v>
      </c>
      <c r="H109" s="1" t="s">
        <v>142</v>
      </c>
      <c r="I109" s="1" t="s">
        <v>143</v>
      </c>
      <c r="J109" s="1" t="s">
        <v>144</v>
      </c>
      <c r="K109" s="9">
        <v>30.0</v>
      </c>
      <c r="L109" s="9">
        <v>2.0</v>
      </c>
      <c r="M109" s="9" t="str">
        <f t="shared" si="1"/>
        <v>DEFEAT</v>
      </c>
    </row>
    <row r="110">
      <c r="A110" s="9">
        <f t="shared" si="10"/>
        <v>108</v>
      </c>
      <c r="B110" s="1" t="str">
        <f t="array" ref="B110">INDEX(TeamsID!B:B,MATCH(K110,TeamsID!A:A,0))</f>
        <v>RECEBA FC</v>
      </c>
      <c r="C110" s="1">
        <v>6.0</v>
      </c>
      <c r="D110" s="1" t="str">
        <f t="array" ref="D110">INDEX(TeamsID!B:B,MATCH(L110,TeamsID!A:A,0))</f>
        <v>Chaos!</v>
      </c>
      <c r="E110" s="1">
        <v>3.0</v>
      </c>
      <c r="F110" s="15">
        <f t="shared" si="13"/>
        <v>45029</v>
      </c>
      <c r="H110" s="1" t="s">
        <v>142</v>
      </c>
      <c r="I110" s="1" t="s">
        <v>146</v>
      </c>
      <c r="J110" s="1" t="s">
        <v>144</v>
      </c>
      <c r="K110" s="9">
        <v>2.0</v>
      </c>
      <c r="L110" s="9">
        <v>32.0</v>
      </c>
      <c r="M110" s="9" t="str">
        <f t="shared" si="1"/>
        <v>WIN</v>
      </c>
    </row>
    <row r="111">
      <c r="A111" s="9">
        <f t="shared" si="10"/>
        <v>109</v>
      </c>
      <c r="B111" s="1" t="str">
        <f t="array" ref="B111">INDEX(TeamsID!B:B,MATCH(K111,TeamsID!A:A,0))</f>
        <v>RECEBA FC</v>
      </c>
      <c r="C111" s="1">
        <v>5.0</v>
      </c>
      <c r="D111" s="1" t="str">
        <f t="array" ref="D111">INDEX(TeamsID!B:B,MATCH(L111,TeamsID!A:A,0))</f>
        <v>Dribblers FC</v>
      </c>
      <c r="E111" s="1">
        <v>3.0</v>
      </c>
      <c r="F111" s="15">
        <v>45036.0</v>
      </c>
      <c r="H111" s="1" t="s">
        <v>142</v>
      </c>
      <c r="I111" s="1" t="s">
        <v>143</v>
      </c>
      <c r="J111" s="1" t="s">
        <v>144</v>
      </c>
      <c r="K111" s="9">
        <v>2.0</v>
      </c>
      <c r="L111" s="9">
        <v>46.0</v>
      </c>
      <c r="M111" s="9" t="str">
        <f t="shared" si="1"/>
        <v>WIN</v>
      </c>
    </row>
    <row r="112">
      <c r="A112" s="9">
        <f t="shared" si="10"/>
        <v>110</v>
      </c>
      <c r="B112" s="1" t="str">
        <f t="array" ref="B112">INDEX(TeamsID!B:B,MATCH(K112,TeamsID!A:A,0))</f>
        <v>Rocket Shots II</v>
      </c>
      <c r="C112" s="1">
        <v>8.0</v>
      </c>
      <c r="D112" s="1" t="str">
        <f t="array" ref="D112">INDEX(TeamsID!B:B,MATCH(L112,TeamsID!A:A,0))</f>
        <v>RECEBA FC</v>
      </c>
      <c r="E112" s="1">
        <v>10.0</v>
      </c>
      <c r="F112" s="15">
        <v>45043.0</v>
      </c>
      <c r="H112" s="1" t="s">
        <v>142</v>
      </c>
      <c r="I112" s="1" t="s">
        <v>145</v>
      </c>
      <c r="J112" s="1" t="s">
        <v>147</v>
      </c>
      <c r="K112" s="9">
        <v>33.0</v>
      </c>
      <c r="L112" s="9">
        <v>2.0</v>
      </c>
      <c r="M112" s="9" t="str">
        <f t="shared" si="1"/>
        <v>DEFEAT</v>
      </c>
    </row>
    <row r="113">
      <c r="A113" s="9">
        <f t="shared" si="10"/>
        <v>111</v>
      </c>
      <c r="B113" s="1" t="str">
        <f t="array" ref="B113">INDEX(TeamsID!B:B,MATCH(K113,TeamsID!A:A,0))</f>
        <v>RECEBA FC</v>
      </c>
      <c r="C113" s="1">
        <v>6.0</v>
      </c>
      <c r="D113" s="1" t="str">
        <f t="array" ref="D113">INDEX(TeamsID!B:B,MATCH(L113,TeamsID!A:A,0))</f>
        <v>Half Boiled Eggs</v>
      </c>
      <c r="E113" s="1">
        <v>5.0</v>
      </c>
      <c r="F113" s="15">
        <v>45050.0</v>
      </c>
      <c r="H113" s="1" t="s">
        <v>142</v>
      </c>
      <c r="I113" s="1" t="s">
        <v>143</v>
      </c>
      <c r="J113" s="1" t="s">
        <v>147</v>
      </c>
      <c r="K113" s="9">
        <v>2.0</v>
      </c>
      <c r="L113" s="9">
        <v>44.0</v>
      </c>
      <c r="M113" s="9" t="str">
        <f t="shared" si="1"/>
        <v>WIN</v>
      </c>
    </row>
    <row r="114">
      <c r="A114" s="9">
        <f t="shared" si="10"/>
        <v>112</v>
      </c>
      <c r="B114" s="1" t="str">
        <f t="array" ref="B114">INDEX(TeamsID!B:B,MATCH(K114,TeamsID!A:A,0))</f>
        <v>RECEBA FC</v>
      </c>
      <c r="C114" s="1">
        <v>6.0</v>
      </c>
      <c r="D114" s="1" t="str">
        <f t="array" ref="D114">INDEX(TeamsID!B:B,MATCH(L114,TeamsID!A:A,0))</f>
        <v>Team Cookie</v>
      </c>
      <c r="E114" s="1">
        <v>3.0</v>
      </c>
      <c r="F114" s="15">
        <v>45057.0</v>
      </c>
      <c r="H114" s="1" t="s">
        <v>142</v>
      </c>
      <c r="I114" s="1" t="s">
        <v>146</v>
      </c>
      <c r="J114" s="1" t="s">
        <v>147</v>
      </c>
      <c r="K114" s="9">
        <v>2.0</v>
      </c>
      <c r="L114" s="9">
        <v>47.0</v>
      </c>
      <c r="M114" s="9" t="str">
        <f t="shared" si="1"/>
        <v>WIN</v>
      </c>
    </row>
    <row r="115">
      <c r="A115" s="9">
        <f t="shared" si="10"/>
        <v>113</v>
      </c>
      <c r="B115" s="1" t="str">
        <f t="array" ref="B115">INDEX(TeamsID!B:B,MATCH(K115,TeamsID!A:A,0))</f>
        <v>Pipe Dream</v>
      </c>
      <c r="C115" s="1">
        <v>3.0</v>
      </c>
      <c r="D115" s="1" t="str">
        <f t="array" ref="D115">INDEX(TeamsID!B:B,MATCH(L115,TeamsID!A:A,0))</f>
        <v>RECEBA FC</v>
      </c>
      <c r="E115" s="1">
        <v>13.0</v>
      </c>
      <c r="F115" s="15">
        <v>45064.0</v>
      </c>
      <c r="H115" s="1" t="s">
        <v>142</v>
      </c>
      <c r="I115" s="1" t="s">
        <v>143</v>
      </c>
      <c r="J115" s="1" t="s">
        <v>147</v>
      </c>
      <c r="K115" s="9">
        <v>50.0</v>
      </c>
      <c r="L115" s="9">
        <v>2.0</v>
      </c>
      <c r="M115" s="9" t="str">
        <f t="shared" si="1"/>
        <v>DEFEAT</v>
      </c>
    </row>
    <row r="116">
      <c r="A116" s="9">
        <f t="shared" si="10"/>
        <v>114</v>
      </c>
      <c r="B116" s="1" t="str">
        <f t="array" ref="B116">INDEX(TeamsID!B:B,MATCH(K116,TeamsID!A:A,0))</f>
        <v>RECEBA FC</v>
      </c>
      <c r="D116" s="1" t="str">
        <f t="array" ref="D116">INDEX(TeamsID!B:B,MATCH(L116,TeamsID!A:A,0))</f>
        <v>Kharkiv Football Club</v>
      </c>
      <c r="F116" s="15">
        <v>45071.0</v>
      </c>
      <c r="H116" s="1" t="s">
        <v>142</v>
      </c>
      <c r="I116" s="1" t="s">
        <v>145</v>
      </c>
      <c r="J116" s="1" t="s">
        <v>147</v>
      </c>
      <c r="K116" s="9">
        <v>2.0</v>
      </c>
      <c r="L116" s="9">
        <v>31.0</v>
      </c>
      <c r="M116" s="9" t="str">
        <f t="shared" si="1"/>
        <v>TIE</v>
      </c>
    </row>
    <row r="117">
      <c r="A117" s="9">
        <f t="shared" si="10"/>
        <v>115</v>
      </c>
      <c r="B117" s="1" t="str">
        <f t="array" ref="B117">INDEX(TeamsID!B:B,MATCH(K117,TeamsID!A:A,0))</f>
        <v>Kernel FC</v>
      </c>
      <c r="D117" s="1" t="str">
        <f t="array" ref="D117">INDEX(TeamsID!B:B,MATCH(L117,TeamsID!A:A,0))</f>
        <v>RECEBA FC</v>
      </c>
      <c r="F117" s="15">
        <v>45078.0</v>
      </c>
      <c r="H117" s="1" t="s">
        <v>142</v>
      </c>
      <c r="I117" s="1" t="s">
        <v>146</v>
      </c>
      <c r="J117" s="1" t="s">
        <v>147</v>
      </c>
      <c r="K117" s="9">
        <v>43.0</v>
      </c>
      <c r="L117" s="9">
        <v>2.0</v>
      </c>
      <c r="M117" s="9" t="str">
        <f t="shared" si="1"/>
        <v>TIE</v>
      </c>
    </row>
    <row r="118">
      <c r="A118" s="9">
        <f t="shared" si="10"/>
        <v>116</v>
      </c>
      <c r="B118" s="1" t="str">
        <f t="array" ref="B118">INDEX(TeamsID!B:B,MATCH(K118,TeamsID!A:A,0))</f>
        <v>RECEBA FC</v>
      </c>
      <c r="D118" s="1" t="str">
        <f t="array" ref="D118">INDEX(TeamsID!B:B,MATCH(L118,TeamsID!A:A,0))</f>
        <v>Schedule Chickens</v>
      </c>
      <c r="F118" s="15">
        <v>45082.0</v>
      </c>
      <c r="H118" s="1" t="s">
        <v>142</v>
      </c>
      <c r="I118" s="1" t="s">
        <v>143</v>
      </c>
      <c r="J118" s="1" t="s">
        <v>147</v>
      </c>
      <c r="K118" s="9">
        <v>2.0</v>
      </c>
      <c r="L118" s="9">
        <v>48.0</v>
      </c>
      <c r="M118" s="9" t="str">
        <f t="shared" si="1"/>
        <v>TIE</v>
      </c>
    </row>
    <row r="119">
      <c r="A119" s="9">
        <f t="shared" si="10"/>
        <v>117</v>
      </c>
      <c r="B119" s="1" t="str">
        <f t="array" ref="B119">INDEX(TeamsID!B:B,MATCH(K119,TeamsID!A:A,0))</f>
        <v>RECEBA FC</v>
      </c>
      <c r="D119" s="1" t="str">
        <f t="array" ref="D119">INDEX(TeamsID!B:B,MATCH(L119,TeamsID!A:A,0))</f>
        <v>Do it again!</v>
      </c>
      <c r="F119" s="15">
        <v>45092.0</v>
      </c>
      <c r="H119" s="1" t="s">
        <v>142</v>
      </c>
      <c r="I119" s="1" t="s">
        <v>145</v>
      </c>
      <c r="J119" s="1" t="s">
        <v>147</v>
      </c>
      <c r="K119" s="9">
        <v>2.0</v>
      </c>
      <c r="L119" s="9">
        <v>45.0</v>
      </c>
      <c r="M119" s="9" t="str">
        <f t="shared" si="1"/>
        <v>TIE</v>
      </c>
    </row>
    <row r="120">
      <c r="A120" s="9">
        <f t="shared" si="10"/>
        <v>118</v>
      </c>
      <c r="B120" s="1" t="str">
        <f t="array" ref="B120">INDEX(TeamsID!B:B,MATCH(K120,TeamsID!A:A,0))</f>
        <v>Dribblers FC</v>
      </c>
      <c r="D120" s="1" t="str">
        <f t="array" ref="D120">INDEX(TeamsID!B:B,MATCH(L120,TeamsID!A:A,0))</f>
        <v>RECEBA FC</v>
      </c>
      <c r="F120" s="15">
        <v>45099.0</v>
      </c>
      <c r="H120" s="1" t="s">
        <v>142</v>
      </c>
      <c r="I120" s="1" t="s">
        <v>146</v>
      </c>
      <c r="J120" s="1" t="s">
        <v>147</v>
      </c>
      <c r="K120" s="9">
        <v>46.0</v>
      </c>
      <c r="L120" s="9">
        <v>2.0</v>
      </c>
      <c r="M120" s="9" t="str">
        <f t="shared" si="1"/>
        <v>TIE</v>
      </c>
    </row>
    <row r="121">
      <c r="A121" s="9">
        <f t="shared" si="10"/>
        <v>119</v>
      </c>
      <c r="B121" s="1" t="str">
        <f t="array" ref="B121">INDEX(TeamsID!B:B,MATCH(K121,TeamsID!A:A,0))</f>
        <v>RECEBA FC</v>
      </c>
      <c r="D121" s="1" t="str">
        <f t="array" ref="D121">INDEX(TeamsID!B:B,MATCH(L121,TeamsID!A:A,0))</f>
        <v>Real Mandrink</v>
      </c>
      <c r="F121" s="15">
        <v>45106.0</v>
      </c>
      <c r="H121" s="1" t="s">
        <v>142</v>
      </c>
      <c r="I121" s="1" t="s">
        <v>148</v>
      </c>
      <c r="J121" s="1" t="s">
        <v>147</v>
      </c>
      <c r="K121" s="9">
        <v>2.0</v>
      </c>
      <c r="L121" s="9">
        <v>49.0</v>
      </c>
      <c r="M121" s="9" t="str">
        <f t="shared" si="1"/>
        <v>TIE</v>
      </c>
    </row>
    <row r="122">
      <c r="A122" s="9">
        <f t="shared" si="10"/>
        <v>120</v>
      </c>
      <c r="B122" s="1" t="str">
        <f t="array" ref="B122">INDEX(TeamsID!B:B,MATCH(K122,TeamsID!A:A,0))</f>
        <v>Dirty Dozen</v>
      </c>
      <c r="D122" s="1" t="str">
        <f t="array" ref="D122">INDEX(TeamsID!B:B,MATCH(L122,TeamsID!A:A,0))</f>
        <v>RECEBA FC</v>
      </c>
      <c r="F122" s="15">
        <v>45113.0</v>
      </c>
      <c r="H122" s="1" t="s">
        <v>142</v>
      </c>
      <c r="I122" s="1" t="s">
        <v>148</v>
      </c>
      <c r="J122" s="1" t="s">
        <v>147</v>
      </c>
      <c r="K122" s="9">
        <v>51.0</v>
      </c>
      <c r="L122" s="9">
        <v>2.0</v>
      </c>
      <c r="M122" s="9" t="str">
        <f t="shared" si="1"/>
        <v>TIE</v>
      </c>
    </row>
    <row r="123">
      <c r="A123" s="9">
        <f t="shared" si="10"/>
        <v>121</v>
      </c>
      <c r="B123" s="1" t="str">
        <f t="array" ref="B123">INDEX(TeamsID!B:B,MATCH(K123,TeamsID!A:A,0))</f>
        <v>RECEBA FC</v>
      </c>
      <c r="D123" s="1" t="str">
        <f t="array" ref="D123">INDEX(TeamsID!B:B,MATCH(L123,TeamsID!A:A,0))</f>
        <v>Casa Real AC</v>
      </c>
      <c r="F123" s="15">
        <v>45120.0</v>
      </c>
      <c r="H123" s="1" t="s">
        <v>142</v>
      </c>
      <c r="I123" s="1" t="s">
        <v>145</v>
      </c>
      <c r="J123" s="1" t="s">
        <v>147</v>
      </c>
      <c r="K123" s="1">
        <v>2.0</v>
      </c>
      <c r="L123" s="1">
        <v>52.0</v>
      </c>
      <c r="M123" s="9" t="str">
        <f t="shared" si="1"/>
        <v>TIE</v>
      </c>
    </row>
    <row r="124">
      <c r="F124" s="15"/>
    </row>
    <row r="125">
      <c r="F125" s="15"/>
    </row>
    <row r="126">
      <c r="F126" s="15"/>
    </row>
    <row r="127">
      <c r="F127" s="15"/>
    </row>
    <row r="128">
      <c r="F128" s="15"/>
    </row>
    <row r="129">
      <c r="F129" s="15"/>
    </row>
    <row r="130">
      <c r="F130" s="15"/>
    </row>
    <row r="131">
      <c r="F131" s="1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41</v>
      </c>
      <c r="C1" s="1" t="s">
        <v>149</v>
      </c>
    </row>
    <row r="2">
      <c r="A2" s="1">
        <v>1.0</v>
      </c>
      <c r="B2" s="1" t="s">
        <v>150</v>
      </c>
    </row>
    <row r="3">
      <c r="A3" s="9">
        <f t="shared" ref="A3:A12" si="1">A2+1</f>
        <v>2</v>
      </c>
      <c r="B3" s="1" t="s">
        <v>151</v>
      </c>
    </row>
    <row r="4">
      <c r="A4" s="9">
        <f t="shared" si="1"/>
        <v>3</v>
      </c>
      <c r="B4" s="1" t="s">
        <v>34</v>
      </c>
    </row>
    <row r="5">
      <c r="A5" s="9">
        <f t="shared" si="1"/>
        <v>4</v>
      </c>
      <c r="B5" s="1" t="s">
        <v>23</v>
      </c>
    </row>
    <row r="6">
      <c r="A6" s="9">
        <f t="shared" si="1"/>
        <v>5</v>
      </c>
      <c r="B6" s="1" t="s">
        <v>35</v>
      </c>
    </row>
    <row r="7">
      <c r="A7" s="9">
        <f t="shared" si="1"/>
        <v>6</v>
      </c>
      <c r="B7" s="1" t="s">
        <v>27</v>
      </c>
    </row>
    <row r="8">
      <c r="A8" s="9">
        <f t="shared" si="1"/>
        <v>7</v>
      </c>
      <c r="B8" s="1" t="s">
        <v>26</v>
      </c>
    </row>
    <row r="9">
      <c r="A9" s="9">
        <f t="shared" si="1"/>
        <v>8</v>
      </c>
      <c r="B9" s="1" t="s">
        <v>24</v>
      </c>
    </row>
    <row r="10">
      <c r="A10" s="9">
        <f t="shared" si="1"/>
        <v>9</v>
      </c>
      <c r="B10" s="1" t="s">
        <v>21</v>
      </c>
    </row>
    <row r="11">
      <c r="A11" s="9">
        <f t="shared" si="1"/>
        <v>10</v>
      </c>
      <c r="B11" s="1" t="s">
        <v>20</v>
      </c>
      <c r="D11" s="1">
        <v>88.0</v>
      </c>
      <c r="E11" s="1">
        <v>110.0</v>
      </c>
      <c r="F11" s="1">
        <v>87.0</v>
      </c>
    </row>
    <row r="12">
      <c r="A12" s="9">
        <f t="shared" si="1"/>
        <v>11</v>
      </c>
      <c r="B12" s="1" t="s">
        <v>28</v>
      </c>
    </row>
    <row r="13">
      <c r="A13" s="1">
        <v>12.0</v>
      </c>
      <c r="B13" s="1" t="s">
        <v>152</v>
      </c>
    </row>
    <row r="14">
      <c r="A14" s="1">
        <v>13.0</v>
      </c>
      <c r="B14" s="1" t="s">
        <v>31</v>
      </c>
    </row>
    <row r="15">
      <c r="A15" s="1">
        <v>14.0</v>
      </c>
      <c r="B15" s="1" t="s">
        <v>25</v>
      </c>
    </row>
    <row r="16">
      <c r="A16" s="1">
        <v>15.0</v>
      </c>
      <c r="B16" s="1" t="s">
        <v>32</v>
      </c>
    </row>
    <row r="17">
      <c r="A17" s="1">
        <v>16.0</v>
      </c>
      <c r="B17" s="1" t="s">
        <v>30</v>
      </c>
    </row>
    <row r="18">
      <c r="A18" s="1">
        <v>17.0</v>
      </c>
      <c r="B18" s="1" t="s">
        <v>153</v>
      </c>
    </row>
    <row r="19">
      <c r="A19" s="1">
        <v>18.0</v>
      </c>
      <c r="B19" s="1" t="s">
        <v>22</v>
      </c>
    </row>
    <row r="20">
      <c r="A20" s="1">
        <v>19.0</v>
      </c>
      <c r="B20" s="1" t="s">
        <v>29</v>
      </c>
    </row>
    <row r="21">
      <c r="A21" s="1">
        <v>20.0</v>
      </c>
      <c r="B21" s="1" t="s">
        <v>33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63"/>
    <col customWidth="1" min="6" max="6" width="14.88"/>
  </cols>
  <sheetData>
    <row r="1">
      <c r="A1" s="1" t="s">
        <v>39</v>
      </c>
      <c r="B1" s="1" t="s">
        <v>119</v>
      </c>
      <c r="C1" s="1" t="s">
        <v>124</v>
      </c>
      <c r="D1" s="1" t="s">
        <v>154</v>
      </c>
      <c r="E1" s="1" t="s">
        <v>155</v>
      </c>
      <c r="F1" s="1" t="s">
        <v>156</v>
      </c>
    </row>
    <row r="2">
      <c r="A2" s="1">
        <v>1.0</v>
      </c>
      <c r="B2" s="1" t="s">
        <v>17</v>
      </c>
      <c r="C2" s="1" t="s">
        <v>130</v>
      </c>
      <c r="D2" s="1" t="s">
        <v>157</v>
      </c>
      <c r="E2" s="1" t="s">
        <v>158</v>
      </c>
    </row>
    <row r="3">
      <c r="A3" s="1">
        <v>2.0</v>
      </c>
      <c r="B3" s="1" t="s">
        <v>18</v>
      </c>
      <c r="C3" s="1" t="s">
        <v>142</v>
      </c>
      <c r="D3" s="1" t="s">
        <v>157</v>
      </c>
      <c r="E3" s="1" t="s">
        <v>158</v>
      </c>
    </row>
    <row r="4">
      <c r="A4" s="1">
        <v>3.0</v>
      </c>
      <c r="B4" s="1" t="s">
        <v>159</v>
      </c>
      <c r="C4" s="1" t="s">
        <v>130</v>
      </c>
    </row>
    <row r="5">
      <c r="A5" s="9">
        <f t="shared" ref="A5:A53" si="1">A4+1</f>
        <v>4</v>
      </c>
      <c r="B5" s="1" t="s">
        <v>160</v>
      </c>
      <c r="C5" s="1" t="s">
        <v>130</v>
      </c>
    </row>
    <row r="6">
      <c r="A6" s="9">
        <f t="shared" si="1"/>
        <v>5</v>
      </c>
      <c r="B6" s="1" t="s">
        <v>161</v>
      </c>
      <c r="C6" s="1" t="s">
        <v>130</v>
      </c>
    </row>
    <row r="7">
      <c r="A7" s="9">
        <f t="shared" si="1"/>
        <v>6</v>
      </c>
      <c r="B7" s="1" t="s">
        <v>162</v>
      </c>
      <c r="C7" s="1" t="s">
        <v>130</v>
      </c>
    </row>
    <row r="8">
      <c r="A8" s="9">
        <f t="shared" si="1"/>
        <v>7</v>
      </c>
      <c r="B8" s="1" t="s">
        <v>163</v>
      </c>
      <c r="C8" s="1" t="s">
        <v>130</v>
      </c>
    </row>
    <row r="9">
      <c r="A9" s="9">
        <f t="shared" si="1"/>
        <v>8</v>
      </c>
      <c r="B9" s="1" t="s">
        <v>164</v>
      </c>
      <c r="C9" s="1" t="s">
        <v>130</v>
      </c>
    </row>
    <row r="10">
      <c r="A10" s="9">
        <f t="shared" si="1"/>
        <v>9</v>
      </c>
      <c r="B10" s="1" t="s">
        <v>165</v>
      </c>
      <c r="C10" s="1" t="s">
        <v>130</v>
      </c>
    </row>
    <row r="11">
      <c r="A11" s="9">
        <f t="shared" si="1"/>
        <v>10</v>
      </c>
      <c r="B11" s="1" t="s">
        <v>166</v>
      </c>
      <c r="C11" s="1" t="s">
        <v>130</v>
      </c>
    </row>
    <row r="12">
      <c r="A12" s="9">
        <f t="shared" si="1"/>
        <v>11</v>
      </c>
      <c r="B12" s="1" t="s">
        <v>167</v>
      </c>
      <c r="C12" s="1" t="s">
        <v>130</v>
      </c>
    </row>
    <row r="13">
      <c r="A13" s="9">
        <f t="shared" si="1"/>
        <v>12</v>
      </c>
      <c r="B13" s="1" t="s">
        <v>168</v>
      </c>
      <c r="C13" s="1" t="s">
        <v>130</v>
      </c>
    </row>
    <row r="14">
      <c r="A14" s="9">
        <f t="shared" si="1"/>
        <v>13</v>
      </c>
      <c r="B14" s="1" t="s">
        <v>169</v>
      </c>
      <c r="C14" s="1" t="s">
        <v>130</v>
      </c>
    </row>
    <row r="15">
      <c r="A15" s="9">
        <f t="shared" si="1"/>
        <v>14</v>
      </c>
      <c r="B15" s="17" t="s">
        <v>170</v>
      </c>
      <c r="C15" s="1" t="s">
        <v>130</v>
      </c>
      <c r="F15" s="1" t="s">
        <v>171</v>
      </c>
    </row>
    <row r="16">
      <c r="A16" s="9">
        <f t="shared" si="1"/>
        <v>15</v>
      </c>
      <c r="B16" s="1" t="s">
        <v>172</v>
      </c>
      <c r="C16" s="1" t="s">
        <v>130</v>
      </c>
    </row>
    <row r="17">
      <c r="A17" s="9">
        <f t="shared" si="1"/>
        <v>16</v>
      </c>
      <c r="B17" s="1" t="s">
        <v>173</v>
      </c>
      <c r="C17" s="1" t="s">
        <v>130</v>
      </c>
    </row>
    <row r="18">
      <c r="A18" s="9">
        <f t="shared" si="1"/>
        <v>17</v>
      </c>
      <c r="B18" s="1" t="s">
        <v>174</v>
      </c>
      <c r="C18" s="1" t="s">
        <v>130</v>
      </c>
    </row>
    <row r="19">
      <c r="A19" s="9">
        <f t="shared" si="1"/>
        <v>18</v>
      </c>
      <c r="B19" s="1" t="s">
        <v>175</v>
      </c>
      <c r="C19" s="1" t="s">
        <v>130</v>
      </c>
    </row>
    <row r="20">
      <c r="A20" s="9">
        <f t="shared" si="1"/>
        <v>19</v>
      </c>
      <c r="B20" s="1" t="s">
        <v>176</v>
      </c>
      <c r="C20" s="1" t="s">
        <v>130</v>
      </c>
    </row>
    <row r="21">
      <c r="A21" s="9">
        <f t="shared" si="1"/>
        <v>20</v>
      </c>
      <c r="B21" s="1" t="s">
        <v>177</v>
      </c>
      <c r="C21" s="1" t="s">
        <v>130</v>
      </c>
    </row>
    <row r="22">
      <c r="A22" s="9">
        <f t="shared" si="1"/>
        <v>21</v>
      </c>
      <c r="B22" s="1" t="s">
        <v>178</v>
      </c>
      <c r="C22" s="1" t="s">
        <v>130</v>
      </c>
    </row>
    <row r="23">
      <c r="A23" s="9">
        <f t="shared" si="1"/>
        <v>22</v>
      </c>
      <c r="B23" s="1" t="s">
        <v>179</v>
      </c>
      <c r="C23" s="1" t="s">
        <v>130</v>
      </c>
    </row>
    <row r="24">
      <c r="A24" s="9">
        <f t="shared" si="1"/>
        <v>23</v>
      </c>
      <c r="B24" s="1" t="s">
        <v>180</v>
      </c>
      <c r="C24" s="1" t="s">
        <v>130</v>
      </c>
    </row>
    <row r="25">
      <c r="A25" s="9">
        <f t="shared" si="1"/>
        <v>24</v>
      </c>
      <c r="B25" s="1" t="s">
        <v>181</v>
      </c>
      <c r="C25" s="1" t="s">
        <v>130</v>
      </c>
    </row>
    <row r="26">
      <c r="A26" s="18">
        <f t="shared" si="1"/>
        <v>25</v>
      </c>
      <c r="B26" s="17" t="s">
        <v>170</v>
      </c>
      <c r="C26" s="17" t="s">
        <v>130</v>
      </c>
    </row>
    <row r="27">
      <c r="A27" s="9">
        <f t="shared" si="1"/>
        <v>26</v>
      </c>
      <c r="B27" s="1" t="s">
        <v>182</v>
      </c>
      <c r="C27" s="1" t="s">
        <v>130</v>
      </c>
    </row>
    <row r="28">
      <c r="A28" s="9">
        <f t="shared" si="1"/>
        <v>27</v>
      </c>
      <c r="B28" s="1" t="s">
        <v>183</v>
      </c>
      <c r="C28" s="1" t="s">
        <v>130</v>
      </c>
    </row>
    <row r="29">
      <c r="A29" s="9">
        <f t="shared" si="1"/>
        <v>28</v>
      </c>
      <c r="B29" s="1" t="s">
        <v>184</v>
      </c>
      <c r="C29" s="1" t="s">
        <v>130</v>
      </c>
    </row>
    <row r="30">
      <c r="A30" s="9">
        <f t="shared" si="1"/>
        <v>29</v>
      </c>
      <c r="B30" s="1" t="s">
        <v>185</v>
      </c>
      <c r="C30" s="1" t="s">
        <v>142</v>
      </c>
    </row>
    <row r="31">
      <c r="A31" s="9">
        <f t="shared" si="1"/>
        <v>30</v>
      </c>
      <c r="B31" s="1" t="s">
        <v>186</v>
      </c>
      <c r="C31" s="1" t="s">
        <v>142</v>
      </c>
    </row>
    <row r="32">
      <c r="A32" s="9">
        <f t="shared" si="1"/>
        <v>31</v>
      </c>
      <c r="B32" s="1" t="s">
        <v>187</v>
      </c>
      <c r="C32" s="1" t="s">
        <v>142</v>
      </c>
    </row>
    <row r="33">
      <c r="A33" s="9">
        <f t="shared" si="1"/>
        <v>32</v>
      </c>
      <c r="B33" s="1" t="s">
        <v>188</v>
      </c>
      <c r="C33" s="1" t="s">
        <v>142</v>
      </c>
    </row>
    <row r="34">
      <c r="A34" s="9">
        <f t="shared" si="1"/>
        <v>33</v>
      </c>
      <c r="B34" s="1" t="s">
        <v>189</v>
      </c>
      <c r="C34" s="1" t="s">
        <v>142</v>
      </c>
    </row>
    <row r="35">
      <c r="A35" s="9">
        <f t="shared" si="1"/>
        <v>34</v>
      </c>
      <c r="B35" s="1" t="s">
        <v>190</v>
      </c>
      <c r="C35" s="1" t="s">
        <v>130</v>
      </c>
    </row>
    <row r="36">
      <c r="A36" s="9">
        <f t="shared" si="1"/>
        <v>35</v>
      </c>
      <c r="B36" s="1" t="s">
        <v>191</v>
      </c>
      <c r="C36" s="1" t="s">
        <v>130</v>
      </c>
    </row>
    <row r="37">
      <c r="A37" s="9">
        <f t="shared" si="1"/>
        <v>36</v>
      </c>
      <c r="B37" s="1" t="s">
        <v>192</v>
      </c>
      <c r="C37" s="1" t="s">
        <v>130</v>
      </c>
    </row>
    <row r="38">
      <c r="A38" s="9">
        <f t="shared" si="1"/>
        <v>37</v>
      </c>
      <c r="B38" s="1" t="s">
        <v>193</v>
      </c>
      <c r="C38" s="1" t="s">
        <v>130</v>
      </c>
    </row>
    <row r="39">
      <c r="A39" s="9">
        <f t="shared" si="1"/>
        <v>38</v>
      </c>
      <c r="B39" s="1" t="s">
        <v>194</v>
      </c>
      <c r="C39" s="1" t="s">
        <v>130</v>
      </c>
    </row>
    <row r="40">
      <c r="A40" s="9">
        <f t="shared" si="1"/>
        <v>39</v>
      </c>
      <c r="B40" s="1" t="s">
        <v>195</v>
      </c>
      <c r="C40" s="1" t="s">
        <v>130</v>
      </c>
    </row>
    <row r="41">
      <c r="A41" s="9">
        <f t="shared" si="1"/>
        <v>40</v>
      </c>
      <c r="B41" s="1" t="s">
        <v>196</v>
      </c>
      <c r="C41" s="1" t="s">
        <v>130</v>
      </c>
    </row>
    <row r="42">
      <c r="A42" s="9">
        <f t="shared" si="1"/>
        <v>41</v>
      </c>
      <c r="B42" s="1" t="s">
        <v>197</v>
      </c>
      <c r="C42" s="1" t="s">
        <v>130</v>
      </c>
    </row>
    <row r="43">
      <c r="A43" s="9">
        <f t="shared" si="1"/>
        <v>42</v>
      </c>
      <c r="B43" s="1" t="s">
        <v>198</v>
      </c>
      <c r="C43" s="1" t="s">
        <v>130</v>
      </c>
    </row>
    <row r="44">
      <c r="A44" s="9">
        <f t="shared" si="1"/>
        <v>43</v>
      </c>
      <c r="B44" s="1" t="s">
        <v>199</v>
      </c>
      <c r="C44" s="1" t="s">
        <v>142</v>
      </c>
    </row>
    <row r="45">
      <c r="A45" s="9">
        <f t="shared" si="1"/>
        <v>44</v>
      </c>
      <c r="B45" s="1" t="s">
        <v>200</v>
      </c>
      <c r="C45" s="1" t="s">
        <v>142</v>
      </c>
    </row>
    <row r="46">
      <c r="A46" s="9">
        <f t="shared" si="1"/>
        <v>45</v>
      </c>
      <c r="B46" s="1" t="s">
        <v>201</v>
      </c>
      <c r="C46" s="1" t="s">
        <v>142</v>
      </c>
    </row>
    <row r="47">
      <c r="A47" s="9">
        <f t="shared" si="1"/>
        <v>46</v>
      </c>
      <c r="B47" s="1" t="s">
        <v>202</v>
      </c>
      <c r="C47" s="1" t="s">
        <v>142</v>
      </c>
    </row>
    <row r="48">
      <c r="A48" s="9">
        <f t="shared" si="1"/>
        <v>47</v>
      </c>
      <c r="B48" s="1" t="s">
        <v>203</v>
      </c>
    </row>
    <row r="49">
      <c r="A49" s="9">
        <f t="shared" si="1"/>
        <v>48</v>
      </c>
      <c r="B49" s="1" t="s">
        <v>204</v>
      </c>
    </row>
    <row r="50">
      <c r="A50" s="9">
        <f t="shared" si="1"/>
        <v>49</v>
      </c>
      <c r="B50" s="1" t="s">
        <v>205</v>
      </c>
    </row>
    <row r="51">
      <c r="A51" s="9">
        <f t="shared" si="1"/>
        <v>50</v>
      </c>
      <c r="B51" s="1" t="s">
        <v>206</v>
      </c>
    </row>
    <row r="52">
      <c r="A52" s="9">
        <f t="shared" si="1"/>
        <v>51</v>
      </c>
      <c r="B52" s="1" t="s">
        <v>207</v>
      </c>
    </row>
    <row r="53">
      <c r="A53" s="9">
        <f t="shared" si="1"/>
        <v>52</v>
      </c>
      <c r="B53" s="1" t="s">
        <v>208</v>
      </c>
    </row>
  </sheetData>
  <drawing r:id="rId1"/>
</worksheet>
</file>