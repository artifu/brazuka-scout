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" sheetId="1" r:id="rId5"/>
    <sheet state="visible" name="Brazuka US (Tuesday) - Winter I" sheetId="2" r:id="rId6"/>
    <sheet state="visible" name="Receba FC (Thursday) - Fall 202" sheetId="3" r:id="rId7"/>
    <sheet state="visible" name="Old ===&gt;" sheetId="4" r:id="rId8"/>
    <sheet state="visible" name="Sheet7" sheetId="5" r:id="rId9"/>
    <sheet state="visible" name="Brazuka US (Tuesday) - Fall 202" sheetId="6" r:id="rId10"/>
    <sheet state="visible" name="Brazuka US (Tuesday) - Summer 2" sheetId="7" r:id="rId11"/>
    <sheet state="visible" name="Sheet8" sheetId="8" r:id="rId12"/>
    <sheet state="visible" name="Brazuka US (Tuesday) - Spring 2" sheetId="9" r:id="rId13"/>
    <sheet state="visible" name="Receba FC (Thursday) - Winter I" sheetId="10" r:id="rId14"/>
    <sheet state="visible" name="Receba FC (Thursday) - Spring I" sheetId="11" r:id="rId15"/>
    <sheet state="hidden" name="Sheet9" sheetId="12" r:id="rId16"/>
    <sheet state="hidden" name="Brazuka US (Tuesday) - Summer" sheetId="13" r:id="rId17"/>
    <sheet state="hidden" name="Brazuka US (Tuesday) - Spring" sheetId="14" r:id="rId18"/>
    <sheet state="hidden" name="Sheet10" sheetId="15" r:id="rId19"/>
    <sheet state="hidden" name="Sorteio" sheetId="16" r:id="rId20"/>
    <sheet state="hidden" name="Sheet11" sheetId="17" r:id="rId21"/>
    <sheet state="hidden" name="Sheet12" sheetId="18" r:id="rId22"/>
    <sheet state="hidden" name="Sheet13" sheetId="19" r:id="rId23"/>
    <sheet state="hidden" name="Receba FC (Thursday) - Summer 2" sheetId="20" r:id="rId24"/>
  </sheets>
  <definedNames>
    <definedName hidden="1" localSheetId="0" name="_xlnm._FilterDatabase">Players!$A$1:$E$27</definedName>
    <definedName hidden="1" localSheetId="15" name="_xlnm._FilterDatabase">Sorteio!$A$4:$F$22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tc={ec5be9a7-64ab-4d8d-939d-214b4e8a27f7}</author>
  </authors>
  <commentList>
    <comment authorId="0" xr:uid="{ec5be9a7-64ab-4d8d-939d-214b4e8a27f7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$850 + taxes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tc={88d2a881-3c24-4103-a531-1943445a2519}</author>
  </authors>
  <commentList>
    <comment authorId="0" xr:uid="{88d2a881-3c24-4103-a531-1943445a2519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$1,850 + taxes
</t>
      </text>
    </comment>
  </commentList>
</comments>
</file>

<file path=xl/sharedStrings.xml><?xml version="1.0" encoding="utf-8"?>
<sst xmlns="http://schemas.openxmlformats.org/spreadsheetml/2006/main" count="1936" uniqueCount="469">
  <si>
    <t>NAME</t>
  </si>
  <si>
    <t>EMAIL</t>
  </si>
  <si>
    <t>Venmo / Zelle</t>
  </si>
  <si>
    <t>TUESDAY TEAM</t>
  </si>
  <si>
    <t>THURSDAY TEAM</t>
  </si>
  <si>
    <t>Arthur Mendes</t>
  </si>
  <si>
    <t>arthurteixeiramendes@gmail.com</t>
  </si>
  <si>
    <t>x</t>
  </si>
  <si>
    <t xml:space="preserve">Caio Scofield </t>
  </si>
  <si>
    <t xml:space="preserve">caioscofield@gmail.com </t>
  </si>
  <si>
    <t>Y</t>
  </si>
  <si>
    <t>Cleiton Castro</t>
  </si>
  <si>
    <t>cleitoncastro1@icloud.com</t>
  </si>
  <si>
    <t>Darley Tomaz</t>
  </si>
  <si>
    <t>Eric Petrarca</t>
  </si>
  <si>
    <t>ericpetrarca@gmail.com</t>
  </si>
  <si>
    <t>eric-petrarca</t>
  </si>
  <si>
    <t>Guilherme Kuster</t>
  </si>
  <si>
    <t>guilhermeblanski@gmail.com</t>
  </si>
  <si>
    <t>kuster</t>
  </si>
  <si>
    <t>Guilherme Souza</t>
  </si>
  <si>
    <t>gui.csouza@gmail.com</t>
  </si>
  <si>
    <t>gui-csouza</t>
  </si>
  <si>
    <t>Gustavo Bittencourt</t>
  </si>
  <si>
    <t>gufbittencourt@gmail.com</t>
  </si>
  <si>
    <t>Igor Kovacs (goleiro)</t>
  </si>
  <si>
    <t>igorkovacs</t>
  </si>
  <si>
    <t>Igor Biscaia</t>
  </si>
  <si>
    <t>igor.biscaia@gmail.com</t>
  </si>
  <si>
    <t>Joao Barros</t>
  </si>
  <si>
    <t>barros.joaop@gmail.com</t>
  </si>
  <si>
    <t>Joao Pinto</t>
  </si>
  <si>
    <t>jcpppinto@gmail.com</t>
  </si>
  <si>
    <t>joaopinto</t>
  </si>
  <si>
    <t>Jose Idrovo</t>
  </si>
  <si>
    <t>Jose-Idrovo1</t>
  </si>
  <si>
    <t>Lucas Guimaraes</t>
  </si>
  <si>
    <t>lucas.rmg89@gmail.com</t>
  </si>
  <si>
    <t>Marcelo Dichtchekenian</t>
  </si>
  <si>
    <t>MarceloDichtchekenian</t>
  </si>
  <si>
    <t>Matheus Cachoeira</t>
  </si>
  <si>
    <t>matheuscachoeira96@gmail.com</t>
  </si>
  <si>
    <t>Pablo Rodrigues</t>
  </si>
  <si>
    <t>pabloarodrigues@gmail.com</t>
  </si>
  <si>
    <t>pabloar</t>
  </si>
  <si>
    <t>Pedro Nakamura</t>
  </si>
  <si>
    <t>pedro.nakamura@gmail.com</t>
  </si>
  <si>
    <t>Rafael Franco</t>
  </si>
  <si>
    <t>rmfranco@umich.edu</t>
  </si>
  <si>
    <t>Rafael Mattos</t>
  </si>
  <si>
    <t>rafamattos23@gmail.com</t>
  </si>
  <si>
    <t>Ranieri Filho</t>
  </si>
  <si>
    <t>ranieri.filho@gmail.com</t>
  </si>
  <si>
    <t>ranieri-filho</t>
  </si>
  <si>
    <t>Roberto Bandarra</t>
  </si>
  <si>
    <t>robertobandarra@gmail.com</t>
  </si>
  <si>
    <t>roberto-pires</t>
  </si>
  <si>
    <t>Roberto Oliveira</t>
  </si>
  <si>
    <t>rloliveirajr@gmail.com</t>
  </si>
  <si>
    <t>Roberto Machado</t>
  </si>
  <si>
    <t>robertoassismachado@gmail.com</t>
  </si>
  <si>
    <t>Ronaldo Mendes</t>
  </si>
  <si>
    <t>Ron.andrade.mendes@gmail.com</t>
  </si>
  <si>
    <t>Sergio Filho</t>
  </si>
  <si>
    <t>ssjardimf@gmail.com</t>
  </si>
  <si>
    <t>s_filho</t>
  </si>
  <si>
    <t>Inactive Players</t>
  </si>
  <si>
    <t>Tamir Guy</t>
  </si>
  <si>
    <t>tamirg07@gmail.com</t>
  </si>
  <si>
    <t>Eric Glenn</t>
  </si>
  <si>
    <t>esglenn87@gmail.com</t>
  </si>
  <si>
    <t>Fede del Bono</t>
  </si>
  <si>
    <t>fldb90@gmail.com</t>
  </si>
  <si>
    <t>Mauricio Steinbruch</t>
  </si>
  <si>
    <t>mauricio.steinbruch@gmail.com</t>
  </si>
  <si>
    <t>Flavio Magalhaes</t>
  </si>
  <si>
    <t>flaviomagalhaes0@gmail.com</t>
  </si>
  <si>
    <t>Marcelo Mazzafera</t>
  </si>
  <si>
    <t>marcelomazzafera@gmail.com</t>
  </si>
  <si>
    <t>mazzafera</t>
  </si>
  <si>
    <t>Luiz Felipe Mourao</t>
  </si>
  <si>
    <t>mouraolf@gmail.com</t>
  </si>
  <si>
    <t>League</t>
  </si>
  <si>
    <t>Winter II</t>
  </si>
  <si>
    <t>Weekday</t>
  </si>
  <si>
    <t>Tuesday</t>
  </si>
  <si>
    <t>1/7 at 7:40pm</t>
  </si>
  <si>
    <t>Goals</t>
  </si>
  <si>
    <t>Assists</t>
  </si>
  <si>
    <t>Blue Cards</t>
  </si>
  <si>
    <t>Team</t>
  </si>
  <si>
    <t>W</t>
  </si>
  <si>
    <t>L</t>
  </si>
  <si>
    <t>T</t>
  </si>
  <si>
    <t>Pts</t>
  </si>
  <si>
    <t>GF</t>
  </si>
  <si>
    <t>GA</t>
  </si>
  <si>
    <t>GD</t>
  </si>
  <si>
    <t>PCT</t>
  </si>
  <si>
    <t>GP</t>
  </si>
  <si>
    <t>Location</t>
  </si>
  <si>
    <t>Magnuson</t>
  </si>
  <si>
    <t>SW Magnuson</t>
  </si>
  <si>
    <r>
      <rPr>
        <rFont val="&quot;DM Sans&quot;, Arial, Helvetica, sans-serif"/>
        <color rgb="FF000000"/>
        <sz val="11.0"/>
      </rPr>
      <t>Axolotls (Tues Men's D) (S)</t>
    </r>
  </si>
  <si>
    <t># of Matches</t>
  </si>
  <si>
    <t>Brazuka US</t>
  </si>
  <si>
    <t>Diesel Daddies</t>
  </si>
  <si>
    <r>
      <rPr>
        <rFont val="&quot;DM Sans&quot;, Arial, Helvetica, sans-serif"/>
        <color rgb="FF000000"/>
        <sz val="11.0"/>
      </rPr>
      <t>Forçados F.C. (Tues Men's D1)</t>
    </r>
  </si>
  <si>
    <t>Season Fee</t>
  </si>
  <si>
    <r>
      <rPr>
        <rFont val="&quot;DM Sans&quot;, Arial, Helvetica, sans-serif"/>
        <color rgb="FF000000"/>
        <sz val="11.0"/>
      </rPr>
      <t>Do it again! (Tues Men's D) (S)</t>
    </r>
  </si>
  <si>
    <t>Start Date</t>
  </si>
  <si>
    <r>
      <rPr>
        <rFont val="&quot;DM Sans&quot;, Arial, Helvetica, sans-serif"/>
        <color rgb="FF000000"/>
        <sz val="11.0"/>
      </rPr>
      <t>Brazuka US (Tues Men's D)</t>
    </r>
  </si>
  <si>
    <r>
      <rPr>
        <rFont val="&quot;DM Sans&quot;, Arial, Helvetica, sans-serif"/>
        <color rgb="FF000000"/>
        <sz val="11.0"/>
      </rPr>
      <t>Blackfoot Ballers (Tue Men's D) NP 2</t>
    </r>
  </si>
  <si>
    <r>
      <rPr>
        <rFont val="&quot;DM Sans&quot;, Arial, Helvetica, sans-serif"/>
        <color rgb="FF000000"/>
        <sz val="11.0"/>
      </rPr>
      <t>EC Soccer Team (Tues Men's D1)</t>
    </r>
  </si>
  <si>
    <t>PLAYER</t>
  </si>
  <si>
    <t>FEE</t>
  </si>
  <si>
    <t>PAID</t>
  </si>
  <si>
    <t>GOALS</t>
  </si>
  <si>
    <t>ASSISTS</t>
  </si>
  <si>
    <t>CARDS</t>
  </si>
  <si>
    <r>
      <rPr>
        <rFont val="&quot;DM Sans&quot;, Arial, Helvetica, sans-serif"/>
        <color rgb="FF000000"/>
        <sz val="11.0"/>
      </rPr>
      <t>Diesel Daddies (Tues Men's D1)</t>
    </r>
  </si>
  <si>
    <t>Yes</t>
  </si>
  <si>
    <r>
      <rPr>
        <rFont val="&quot;DM Sans&quot;, Arial, Helvetica, sans-serif"/>
        <color rgb="FF000000"/>
        <sz val="11.0"/>
      </rPr>
      <t>Arsenull (Tues Men's D1)</t>
    </r>
  </si>
  <si>
    <t>Caio Scofield</t>
  </si>
  <si>
    <t>Daniel Tedesco</t>
  </si>
  <si>
    <t>1/14 at 6:50pm</t>
  </si>
  <si>
    <t>Arsenull</t>
  </si>
  <si>
    <t>OTHER</t>
  </si>
  <si>
    <t>Aleme</t>
  </si>
  <si>
    <t>Amaral</t>
  </si>
  <si>
    <t>1/21 at 10:00pm</t>
  </si>
  <si>
    <t>NW Magnuson</t>
  </si>
  <si>
    <t>Darley</t>
  </si>
  <si>
    <t>Do it again!</t>
  </si>
  <si>
    <t>Nunes</t>
  </si>
  <si>
    <t>1/28 at 7:30pm</t>
  </si>
  <si>
    <t>SODO</t>
  </si>
  <si>
    <t>Axolotls</t>
  </si>
  <si>
    <t>2/11 at 9:25pm</t>
  </si>
  <si>
    <t>SE Magnuson</t>
  </si>
  <si>
    <t>EC Soccer Team</t>
  </si>
  <si>
    <t>2/25 at 6:55pm</t>
  </si>
  <si>
    <t>3/4 at 6:40pm</t>
  </si>
  <si>
    <t>3/11 at 10:10pm</t>
  </si>
  <si>
    <t>Blackfoot Ballers</t>
  </si>
  <si>
    <t>3/18 at 8:20pm</t>
  </si>
  <si>
    <t>3/25 at 9:10pm</t>
  </si>
  <si>
    <t>Forcados F.C.</t>
  </si>
  <si>
    <t>4/2 at 11:05pm</t>
  </si>
  <si>
    <t>Fall</t>
  </si>
  <si>
    <t>Thursday</t>
  </si>
  <si>
    <t>Redmond</t>
  </si>
  <si>
    <t>Kuster</t>
  </si>
  <si>
    <t>Schedule Chickens</t>
  </si>
  <si>
    <t>Leonel</t>
  </si>
  <si>
    <t># Players</t>
  </si>
  <si>
    <t>4x2 vitoria</t>
  </si>
  <si>
    <t>RETURNING?</t>
  </si>
  <si>
    <t>pagante</t>
  </si>
  <si>
    <t>Maik</t>
  </si>
  <si>
    <t>avulso</t>
  </si>
  <si>
    <t>Daniel</t>
  </si>
  <si>
    <t>Arthur</t>
  </si>
  <si>
    <t>Reese</t>
  </si>
  <si>
    <t>Kenneth</t>
  </si>
  <si>
    <t>Stone</t>
  </si>
  <si>
    <t>6x2 vitoria</t>
  </si>
  <si>
    <t>Cleiton</t>
  </si>
  <si>
    <t>Sergio</t>
  </si>
  <si>
    <t>Matheus</t>
  </si>
  <si>
    <t>Ranieri</t>
  </si>
  <si>
    <t>Rato</t>
  </si>
  <si>
    <t>Dirty Dozen</t>
  </si>
  <si>
    <t>3x2 vitoria</t>
  </si>
  <si>
    <t>Cookie</t>
  </si>
  <si>
    <t>10x8 vitoria</t>
  </si>
  <si>
    <t>Forever DA</t>
  </si>
  <si>
    <t>9x4 vitoria</t>
  </si>
  <si>
    <t>Chaos</t>
  </si>
  <si>
    <t xml:space="preserve">11x6 vitória </t>
  </si>
  <si>
    <t>Winter I</t>
  </si>
  <si>
    <t>10/1 at 7:45pm</t>
  </si>
  <si>
    <t>TEAM</t>
  </si>
  <si>
    <t>PTS</t>
  </si>
  <si>
    <t>Brazuka US (Tues Men's D)</t>
  </si>
  <si>
    <t>FC #!bash</t>
  </si>
  <si>
    <t>Advil United (Tue Men's D2)</t>
  </si>
  <si>
    <t>FC Jinro (Tues Men's D2)</t>
  </si>
  <si>
    <t>Slower than we look (Tues Men's D2) NPGK</t>
  </si>
  <si>
    <t>KOMPAS (Tue Men's D) (S)</t>
  </si>
  <si>
    <t>Blackfoot Ballers (Tue Men's D) NP 2</t>
  </si>
  <si>
    <t>Seattle Techs United (Tue Men's D2)</t>
  </si>
  <si>
    <t>Biblioteca Boiz (Tues Men's D2)</t>
  </si>
  <si>
    <t>Jus 4 Kix (Tue Men's D2)</t>
  </si>
  <si>
    <t>The Great Indoors (Thurs Men's D2) (M)</t>
  </si>
  <si>
    <t>10/8 at 6:50pm</t>
  </si>
  <si>
    <t>The Great Indoors</t>
  </si>
  <si>
    <t>Chase TenBrook</t>
  </si>
  <si>
    <t>Giovanni</t>
  </si>
  <si>
    <t>Gus</t>
  </si>
  <si>
    <t>Luigi Tedesco</t>
  </si>
  <si>
    <t>10/15 at 8:35pm</t>
  </si>
  <si>
    <t>Rodrigo</t>
  </si>
  <si>
    <t>Wesley</t>
  </si>
  <si>
    <t>10/22 at 6:00pm</t>
  </si>
  <si>
    <t>Jus 4 Kix</t>
  </si>
  <si>
    <t>10/29 at 10:50pm</t>
  </si>
  <si>
    <t>Advil United</t>
  </si>
  <si>
    <t>11/05 at 5:50pm</t>
  </si>
  <si>
    <t>Slower Than We Look</t>
  </si>
  <si>
    <t>11/12 at 7:45pm</t>
  </si>
  <si>
    <t>Seattle Techs United</t>
  </si>
  <si>
    <t>11/19 at 8:20pm</t>
  </si>
  <si>
    <t>KOMPAS</t>
  </si>
  <si>
    <t>11/27 at 7:40pm</t>
  </si>
  <si>
    <t>Goal Diggers</t>
  </si>
  <si>
    <t>12/9 at 7:40pm</t>
  </si>
  <si>
    <t>Biblioteca Boiz</t>
  </si>
  <si>
    <t>12/10 at 8:20pm</t>
  </si>
  <si>
    <t>FC Jinro</t>
  </si>
  <si>
    <t>12/17 at 10:10pm</t>
  </si>
  <si>
    <t>8/20 at 6:05pm</t>
  </si>
  <si>
    <t>KOMPAS (Tue Men's D1) (S)</t>
  </si>
  <si>
    <t>Blackfoot Ballers (Tue Men's D1)</t>
  </si>
  <si>
    <t>FC #!bash (Tue Men's D1)</t>
  </si>
  <si>
    <t>BB 2.0 (Tues Men's D1)</t>
  </si>
  <si>
    <t>Brazuka US (Tues Men's D1)</t>
  </si>
  <si>
    <t>Mocha FC (Tues Men's D1)</t>
  </si>
  <si>
    <t>RENEW</t>
  </si>
  <si>
    <t>New</t>
  </si>
  <si>
    <t>8/27 at 10:00pm</t>
  </si>
  <si>
    <t>Mocha FC</t>
  </si>
  <si>
    <t>Chase</t>
  </si>
  <si>
    <t>9/3 at 8:35pm</t>
  </si>
  <si>
    <t>BB 2.0</t>
  </si>
  <si>
    <t>9/11 at 6:40pm</t>
  </si>
  <si>
    <t>9/17 at 10:15pm</t>
  </si>
  <si>
    <t>9/24 at 8:30pm</t>
  </si>
  <si>
    <t>9/24 at 9:20pm</t>
  </si>
  <si>
    <t>Summer</t>
  </si>
  <si>
    <t>7/9 at 8:35pm</t>
  </si>
  <si>
    <r>
      <rPr>
        <rFont val="&quot;DM Sans&quot;, Arial, Helvetica, sans-serif"/>
        <color rgb="FF212529"/>
        <sz val="11.0"/>
      </rPr>
      <t>BB 2.0 (Tues Men's D1)</t>
    </r>
  </si>
  <si>
    <r>
      <rPr>
        <rFont val="&quot;DM Sans&quot;, Arial, Helvetica, sans-serif"/>
        <color rgb="FF212529"/>
        <sz val="11.0"/>
      </rPr>
      <t>Mocha FC (Tues Men's D1)</t>
    </r>
  </si>
  <si>
    <r>
      <rPr>
        <rFont val="&quot;DM Sans&quot;, Arial, Helvetica, sans-serif"/>
        <color rgb="FF212529"/>
        <sz val="11.0"/>
      </rPr>
      <t>Blackfoot Ballers (Tue Men's D1)</t>
    </r>
  </si>
  <si>
    <r>
      <rPr>
        <rFont val="&quot;DM Sans&quot;, Arial, Helvetica, sans-serif"/>
        <color rgb="FF212529"/>
        <sz val="11.0"/>
      </rPr>
      <t>FC #!bash (Tue Men's D1)</t>
    </r>
  </si>
  <si>
    <r>
      <rPr>
        <rFont val="&quot;DM Sans&quot;, Arial, Helvetica, sans-serif"/>
        <color rgb="FF212529"/>
        <sz val="11.0"/>
      </rPr>
      <t>KOMPAS (Tue Men's D1) (S)</t>
    </r>
  </si>
  <si>
    <r>
      <rPr>
        <rFont val="&quot;DM Sans&quot;, Arial, Helvetica, sans-serif"/>
        <color rgb="FF212529"/>
        <sz val="11.0"/>
      </rPr>
      <t>Brazuka US (Tues Men's D1)</t>
    </r>
  </si>
  <si>
    <t>7/16 at 6pm</t>
  </si>
  <si>
    <t>Cleiton do Cavaco</t>
  </si>
  <si>
    <t>07/23 at 8:20pm</t>
  </si>
  <si>
    <t>Jose</t>
  </si>
  <si>
    <t>Marcel</t>
  </si>
  <si>
    <t>Matheus Waterfall</t>
  </si>
  <si>
    <t>07/30 at 7:40pm</t>
  </si>
  <si>
    <t>08/06 at 9:10pm</t>
  </si>
  <si>
    <t>08/06 at 10:00pm</t>
  </si>
  <si>
    <t>08/13 at 5:50pm</t>
  </si>
  <si>
    <t>1/9 at 8:30pm</t>
  </si>
  <si>
    <t>Husar</t>
  </si>
  <si>
    <t>Axolotls (Tues Men's D1) (S)</t>
  </si>
  <si>
    <t>1/16 at 6:05pm</t>
  </si>
  <si>
    <t>Jager FC</t>
  </si>
  <si>
    <t>Jäger FC (Tues Men's D1)</t>
  </si>
  <si>
    <t>CONFIRMED</t>
  </si>
  <si>
    <t>SEASON FEE</t>
  </si>
  <si>
    <t>STATUS</t>
  </si>
  <si>
    <t>Husar (Tues Men's C2)</t>
  </si>
  <si>
    <t>paid</t>
  </si>
  <si>
    <t>1/23 at 7:30pm</t>
  </si>
  <si>
    <t>Fuchester United (Tues Men's D1)</t>
  </si>
  <si>
    <t>NOT YOUNG II (Tues Men's C2)</t>
  </si>
  <si>
    <t xml:space="preserve">KOMPAS </t>
  </si>
  <si>
    <t>Green Cheetah Dads (Tues Men's D1)</t>
  </si>
  <si>
    <t>Fresh Start FC (Tues Men's D1)</t>
  </si>
  <si>
    <t>House Team FC (Tues Men's C2)</t>
  </si>
  <si>
    <t>NBD (Tues Men's C)</t>
  </si>
  <si>
    <t>Goon Squad (Tues Mens C2)</t>
  </si>
  <si>
    <t>Good Third Touch (Tues Men's C2) (M)</t>
  </si>
  <si>
    <t>Tuesday Men's D1 House Team</t>
  </si>
  <si>
    <t>YETI FC (Tues Men's C1) (S)</t>
  </si>
  <si>
    <t>Momentum (Tues Men's C)</t>
  </si>
  <si>
    <t>1/30 at 6:05pm</t>
  </si>
  <si>
    <t>Fuchester United</t>
  </si>
  <si>
    <t>Igor</t>
  </si>
  <si>
    <t>Mazza</t>
  </si>
  <si>
    <t>2/6 at 6:40pm</t>
  </si>
  <si>
    <t>2/14 at 10:05pm</t>
  </si>
  <si>
    <t>Yellow Cards</t>
  </si>
  <si>
    <t>Green Cheetah Dads</t>
  </si>
  <si>
    <t>2/20 at 6:40pm</t>
  </si>
  <si>
    <t>Axolots</t>
  </si>
  <si>
    <t>2/27 at 10:15pm</t>
  </si>
  <si>
    <t>Fresh Start FC</t>
  </si>
  <si>
    <t>3/5 at 7:40pm</t>
  </si>
  <si>
    <t>Jäger FC</t>
  </si>
  <si>
    <t>3/15 at 8:20pm</t>
  </si>
  <si>
    <t>Forfeit</t>
  </si>
  <si>
    <t>3/26 at 7:45pm</t>
  </si>
  <si>
    <t>4/2 at 8:20pm</t>
  </si>
  <si>
    <t>Spring</t>
  </si>
  <si>
    <t>4/9 at 8:20pm</t>
  </si>
  <si>
    <t>The Kwisatz Headerach</t>
  </si>
  <si>
    <t>Manchest-hair United FC (Tues Men's D1)</t>
  </si>
  <si>
    <t>FC Jinro (Tues Men's D1)</t>
  </si>
  <si>
    <t>The Kwisatz Headerach (Tues Men's D1)</t>
  </si>
  <si>
    <t>4/16 at 10:00pm</t>
  </si>
  <si>
    <t>Damiao</t>
  </si>
  <si>
    <t>4/23 at 6:40pm</t>
  </si>
  <si>
    <t>Filipe</t>
  </si>
  <si>
    <t>Kevin</t>
  </si>
  <si>
    <t>4/30 at 10:15pm</t>
  </si>
  <si>
    <t>5/7 at 9:10pm</t>
  </si>
  <si>
    <t>Manchest-hair United FC</t>
  </si>
  <si>
    <t>5/21 at 8:35pm</t>
  </si>
  <si>
    <t>5/28 at 10:10pm</t>
  </si>
  <si>
    <t>6/4 at 7:30pm</t>
  </si>
  <si>
    <t>6/11 at 7:45pm</t>
  </si>
  <si>
    <t>6/18 at 6:00pm</t>
  </si>
  <si>
    <t>6/25 at 9:25pm</t>
  </si>
  <si>
    <t>7/2 at 6:40pm</t>
  </si>
  <si>
    <t>Charged?</t>
  </si>
  <si>
    <t>Paid?</t>
  </si>
  <si>
    <t>Venmo</t>
  </si>
  <si>
    <t>Status</t>
  </si>
  <si>
    <t>Eric Petranca</t>
  </si>
  <si>
    <t>Paid</t>
  </si>
  <si>
    <t>Pablo</t>
  </si>
  <si>
    <t>Igor Moreira</t>
  </si>
  <si>
    <t>igor-moreira-1</t>
  </si>
  <si>
    <t>matheuscachoeira</t>
  </si>
  <si>
    <t>Zelle</t>
  </si>
  <si>
    <t>Charged</t>
  </si>
  <si>
    <t>PAID?</t>
  </si>
  <si>
    <t>YES</t>
  </si>
  <si>
    <t>Daniel Torres</t>
  </si>
  <si>
    <t>Reese Larson</t>
  </si>
  <si>
    <t>reese-larson</t>
  </si>
  <si>
    <t>charged</t>
  </si>
  <si>
    <t>Jose Ecuador</t>
  </si>
  <si>
    <t>Rodolfo</t>
  </si>
  <si>
    <t>Round</t>
  </si>
  <si>
    <t>Date</t>
  </si>
  <si>
    <t>Time</t>
  </si>
  <si>
    <t>Field</t>
  </si>
  <si>
    <t>NW</t>
  </si>
  <si>
    <t>SW</t>
  </si>
  <si>
    <t>SE</t>
  </si>
  <si>
    <t>Adversary</t>
  </si>
  <si>
    <t>Wolves</t>
  </si>
  <si>
    <t>Edge Delta</t>
  </si>
  <si>
    <t>Show me da Mane</t>
  </si>
  <si>
    <t>1)</t>
  </si>
  <si>
    <t>Rafa Mattos</t>
  </si>
  <si>
    <t>2)</t>
  </si>
  <si>
    <t>scofa</t>
  </si>
  <si>
    <t>Pinto</t>
  </si>
  <si>
    <t>3)</t>
  </si>
  <si>
    <t>Joao B</t>
  </si>
  <si>
    <t>4)</t>
  </si>
  <si>
    <t>5)</t>
  </si>
  <si>
    <t>6)</t>
  </si>
  <si>
    <t>Roberto B</t>
  </si>
  <si>
    <t>7)</t>
  </si>
  <si>
    <t>Roberto M</t>
  </si>
  <si>
    <t>8)</t>
  </si>
  <si>
    <t>Pedro</t>
  </si>
  <si>
    <t>9)</t>
  </si>
  <si>
    <t>Marcelo</t>
  </si>
  <si>
    <t>10)</t>
  </si>
  <si>
    <t>rafa franco</t>
  </si>
  <si>
    <t>Confirma</t>
  </si>
  <si>
    <t>April 18th</t>
  </si>
  <si>
    <t>days out</t>
  </si>
  <si>
    <t>DATE</t>
  </si>
  <si>
    <t>AWAY TEAM</t>
  </si>
  <si>
    <t>HOME TEAM</t>
  </si>
  <si>
    <t>LOCATION</t>
  </si>
  <si>
    <t>TIME</t>
  </si>
  <si>
    <t>OUT 1</t>
  </si>
  <si>
    <t>OUT 2</t>
  </si>
  <si>
    <t>OUT 3</t>
  </si>
  <si>
    <t>OUT 4</t>
  </si>
  <si>
    <t>Crouch Potatoes</t>
  </si>
  <si>
    <t>NW Magnuson Field</t>
  </si>
  <si>
    <t>7:30pm - 8:20pm</t>
  </si>
  <si>
    <t>SE Magnuson Field</t>
  </si>
  <si>
    <t>6:00pm - 6:50pm</t>
  </si>
  <si>
    <t>Main SODO Field</t>
  </si>
  <si>
    <t>9:10pm - 10:00pm</t>
  </si>
  <si>
    <t>Semi-Pro Conductors</t>
  </si>
  <si>
    <t>Boomers</t>
  </si>
  <si>
    <t>Sitting Ducks</t>
  </si>
  <si>
    <t>7:40pm - 8:30pm</t>
  </si>
  <si>
    <t>magniFC</t>
  </si>
  <si>
    <t>SW Magnuson Field</t>
  </si>
  <si>
    <t>5:55pm - 6:45pm</t>
  </si>
  <si>
    <t>10:00pm - 10:50pm</t>
  </si>
  <si>
    <t>6:45pm - 7:35pm</t>
  </si>
  <si>
    <t>7:35pm - 8:25pm</t>
  </si>
  <si>
    <t>BEER FUND</t>
  </si>
  <si>
    <t>NET</t>
  </si>
  <si>
    <t>Initial Amount</t>
  </si>
  <si>
    <t>Net Amount</t>
  </si>
  <si>
    <t>AMOUNT</t>
  </si>
  <si>
    <t>OUT</t>
  </si>
  <si>
    <t>Receba FC</t>
  </si>
  <si>
    <t>Rocket Shots II</t>
  </si>
  <si>
    <t>Side Field</t>
  </si>
  <si>
    <t>7:00pm - 7:50pm</t>
  </si>
  <si>
    <t>Half Boiled Eggs</t>
  </si>
  <si>
    <t>LAX Field</t>
  </si>
  <si>
    <t>10:20pm - 11:10pm</t>
  </si>
  <si>
    <t xml:space="preserve">Pablo </t>
  </si>
  <si>
    <t>Team Cookie</t>
  </si>
  <si>
    <t>Main Field</t>
  </si>
  <si>
    <t>Pipe Dream</t>
  </si>
  <si>
    <t>9:30pm - 10:20pm</t>
  </si>
  <si>
    <t>Kharkiv Football Club</t>
  </si>
  <si>
    <t>Kernel F.C.</t>
  </si>
  <si>
    <t>10:50pm - 11:40pm</t>
  </si>
  <si>
    <t>Marcelo Mazza</t>
  </si>
  <si>
    <t>8:20pm - 9:10pm</t>
  </si>
  <si>
    <t xml:space="preserve">Do it again! </t>
  </si>
  <si>
    <t>7:50pm - 8:40pm</t>
  </si>
  <si>
    <t>Dribblers FC</t>
  </si>
  <si>
    <t>6:40pm - 7:30pm</t>
  </si>
  <si>
    <t>Real Mandrink</t>
  </si>
  <si>
    <t>Issaquah</t>
  </si>
  <si>
    <t>pablo</t>
  </si>
  <si>
    <t>Casa Real AC</t>
  </si>
  <si>
    <t>Emerson</t>
  </si>
  <si>
    <t>Team 1</t>
  </si>
  <si>
    <t>Team 2</t>
  </si>
  <si>
    <t>Nome</t>
  </si>
  <si>
    <t>Posicao</t>
  </si>
  <si>
    <t>Random Numb.</t>
  </si>
  <si>
    <t>Ranks</t>
  </si>
  <si>
    <t>Group</t>
  </si>
  <si>
    <t>G</t>
  </si>
  <si>
    <t>1. Kuster (não churras)</t>
  </si>
  <si>
    <t>A</t>
  </si>
  <si>
    <t>D</t>
  </si>
  <si>
    <t>4. Rafa Mattos (não churras)</t>
  </si>
  <si>
    <t>6. Arthur</t>
  </si>
  <si>
    <t>7. mazza (churras+1)</t>
  </si>
  <si>
    <t>M</t>
  </si>
  <si>
    <t>2. Joao B (+1)</t>
  </si>
  <si>
    <t>9. Pintola (churras +1)</t>
  </si>
  <si>
    <t>10. Guilherme (nao churras)</t>
  </si>
  <si>
    <t>11. Scofa (churras +1)</t>
  </si>
  <si>
    <t>12. Flávio (churras +1)</t>
  </si>
  <si>
    <t>13. Ranieri (churras +1)</t>
  </si>
  <si>
    <t>Selecionado</t>
  </si>
  <si>
    <t>19. Darley (goleiro)</t>
  </si>
  <si>
    <t>20. Bruno (goleiro)</t>
  </si>
  <si>
    <t>3. Sergio</t>
  </si>
  <si>
    <t>5. Rodrigo (churras +1)</t>
  </si>
  <si>
    <t>14. Gustavo (churras +1)</t>
  </si>
  <si>
    <t>15. Mauro</t>
  </si>
  <si>
    <t>16. Pab (churras +1)</t>
  </si>
  <si>
    <t>18. Cleiton</t>
  </si>
  <si>
    <t># of Teams</t>
  </si>
  <si>
    <t>/team</t>
  </si>
  <si>
    <t>Match 1</t>
  </si>
  <si>
    <t>Match 2</t>
  </si>
  <si>
    <t>Match 3</t>
  </si>
  <si>
    <t>Match 4</t>
  </si>
  <si>
    <t>Match 5</t>
  </si>
  <si>
    <t>Match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</si>
</sst>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h:mm am/pm"/>
    <numFmt numFmtId="166" formatCode="&quot;$&quot;#,##0.00"/>
    <numFmt numFmtId="167" formatCode="mmmm d"/>
    <numFmt numFmtId="168" formatCode="m/d"/>
    <numFmt numFmtId="169" formatCode="&quot;$&quot;#,##0"/>
    <numFmt numFmtId="170" formatCode="M/d/yyyy"/>
  </numFmts>
  <fonts count="18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  <font>
      <b/>
      <sz val="11.0"/>
      <color rgb="FFFFFFFF"/>
      <name val="Arial"/>
    </font>
    <font>
      <sz val="11.0"/>
      <color rgb="FF000000"/>
      <name val="&quot;DM Sans&quot;"/>
    </font>
    <font>
      <sz val="11.0"/>
      <color rgb="FF212529"/>
      <name val="&quot;DM Sans&quot;"/>
    </font>
    <font>
      <sz val="11.0"/>
      <color theme="1"/>
      <name val="&quot;DM Sans&quot;"/>
    </font>
    <font>
      <u/>
      <sz val="11.0"/>
      <color rgb="FF212529"/>
      <name val="&quot;DM Sans&quot;"/>
    </font>
    <font>
      <u/>
      <sz val="11.0"/>
      <color rgb="FF0000FF"/>
      <name val="&quot;DM Sans&quot;"/>
    </font>
    <font>
      <b/>
      <u/>
      <sz val="11.0"/>
      <color rgb="FF467886"/>
      <name val="&quot;Aptos Narrow&quot;"/>
    </font>
    <font>
      <sz val="11.0"/>
      <color rgb="FF212529"/>
      <name val="Arial"/>
    </font>
    <font>
      <b/>
      <sz val="11.0"/>
      <color rgb="FF212529"/>
      <name val="Arial"/>
    </font>
    <font>
      <b/>
      <sz val="14.0"/>
      <color theme="1"/>
      <name val="Arial"/>
      <scheme val="minor"/>
    </font>
    <font>
      <color theme="1"/>
      <name val="Arial"/>
    </font>
    <font>
      <color rgb="FF424242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4" fontId="2" numFmtId="0" xfId="0" applyAlignment="1" applyFill="1" applyFont="1">
      <alignment horizontal="left"/>
    </xf>
    <xf borderId="0" fillId="0" fontId="2" numFmtId="164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5" fontId="6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right"/>
    </xf>
    <xf borderId="0" fillId="0" fontId="7" numFmtId="0" xfId="0" applyAlignment="1" applyFont="1">
      <alignment horizontal="left" readingOrder="0" vertical="top"/>
    </xf>
    <xf borderId="0" fillId="6" fontId="8" numFmtId="0" xfId="0" applyAlignment="1" applyFill="1" applyFont="1">
      <alignment horizontal="right" readingOrder="0" vertical="top"/>
    </xf>
    <xf borderId="0" fillId="6" fontId="8" numFmtId="10" xfId="0" applyAlignment="1" applyFont="1" applyNumberFormat="1">
      <alignment horizontal="right" readingOrder="0" vertical="top"/>
    </xf>
    <xf borderId="0" fillId="0" fontId="2" numFmtId="166" xfId="0" applyAlignment="1" applyFont="1" applyNumberFormat="1">
      <alignment readingOrder="0"/>
    </xf>
    <xf borderId="0" fillId="0" fontId="7" numFmtId="0" xfId="0" applyAlignment="1" applyFont="1">
      <alignment horizontal="left" readingOrder="0" vertical="top"/>
    </xf>
    <xf borderId="0" fillId="0" fontId="2" numFmtId="167" xfId="0" applyAlignment="1" applyFont="1" applyNumberFormat="1">
      <alignment horizontal="right" readingOrder="0"/>
    </xf>
    <xf borderId="0" fillId="0" fontId="2" numFmtId="166" xfId="0" applyFont="1" applyNumberFormat="1"/>
    <xf borderId="0" fillId="0" fontId="2" numFmtId="0" xfId="0" applyFont="1"/>
    <xf borderId="0" fillId="0" fontId="3" numFmtId="0" xfId="0" applyAlignment="1" applyFont="1">
      <alignment horizontal="right" readingOrder="0"/>
    </xf>
    <xf borderId="0" fillId="0" fontId="2" numFmtId="166" xfId="0" applyAlignment="1" applyFont="1" applyNumberFormat="1">
      <alignment horizontal="left" readingOrder="0"/>
    </xf>
    <xf borderId="0" fillId="0" fontId="9" numFmtId="0" xfId="0" applyAlignment="1" applyFont="1">
      <alignment horizontal="left" readingOrder="0" vertical="top"/>
    </xf>
    <xf borderId="0" fillId="0" fontId="2" numFmtId="0" xfId="0" applyAlignment="1" applyFont="1">
      <alignment horizontal="left"/>
    </xf>
    <xf borderId="0" fillId="0" fontId="2" numFmtId="168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7" fontId="3" numFmtId="0" xfId="0" applyAlignment="1" applyFill="1" applyFont="1">
      <alignment horizontal="left" readingOrder="0"/>
    </xf>
    <xf borderId="0" fillId="7" fontId="3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6" xfId="0" applyFont="1" applyNumberFormat="1"/>
    <xf borderId="0" fillId="0" fontId="10" numFmtId="0" xfId="0" applyAlignment="1" applyFont="1">
      <alignment horizontal="left" readingOrder="0" vertical="top"/>
    </xf>
    <xf borderId="0" fillId="0" fontId="11" numFmtId="0" xfId="0" applyAlignment="1" applyFont="1">
      <alignment horizontal="left" readingOrder="0" vertical="top"/>
    </xf>
    <xf borderId="0" fillId="0" fontId="2" numFmtId="166" xfId="0" applyAlignment="1" applyFont="1" applyNumberFormat="1">
      <alignment horizontal="left" readingOrder="0"/>
    </xf>
    <xf borderId="0" fillId="0" fontId="2" numFmtId="166" xfId="0" applyAlignment="1" applyFont="1" applyNumberFormat="1">
      <alignment horizontal="left"/>
    </xf>
    <xf borderId="0" fillId="4" fontId="2" numFmtId="0" xfId="0" applyFont="1"/>
    <xf borderId="0" fillId="0" fontId="2" numFmtId="165" xfId="0" applyAlignment="1" applyFont="1" applyNumberFormat="1">
      <alignment readingOrder="0"/>
    </xf>
    <xf borderId="0" fillId="0" fontId="6" numFmtId="0" xfId="0" applyAlignment="1" applyFont="1">
      <alignment horizontal="center" readingOrder="0" vertical="bottom"/>
    </xf>
    <xf borderId="0" fillId="6" fontId="12" numFmtId="0" xfId="0" applyAlignment="1" applyFont="1">
      <alignment readingOrder="0" vertical="top"/>
    </xf>
    <xf borderId="0" fillId="6" fontId="13" numFmtId="0" xfId="0" applyAlignment="1" applyFont="1">
      <alignment horizontal="right" readingOrder="0" vertical="top"/>
    </xf>
    <xf borderId="0" fillId="6" fontId="14" numFmtId="0" xfId="0" applyAlignment="1" applyFont="1">
      <alignment horizontal="right" readingOrder="0" vertical="top"/>
    </xf>
    <xf borderId="0" fillId="6" fontId="13" numFmtId="10" xfId="0" applyAlignment="1" applyFont="1" applyNumberFormat="1">
      <alignment horizontal="right" readingOrder="0" vertical="top"/>
    </xf>
    <xf borderId="0" fillId="0" fontId="13" numFmtId="0" xfId="0" applyAlignment="1" applyFont="1">
      <alignment horizontal="right" readingOrder="0" vertical="top"/>
    </xf>
    <xf borderId="0" fillId="0" fontId="15" numFmtId="0" xfId="0" applyAlignment="1" applyFont="1">
      <alignment readingOrder="0"/>
    </xf>
    <xf borderId="0" fillId="0" fontId="3" numFmtId="166" xfId="0" applyFont="1" applyNumberFormat="1"/>
    <xf borderId="0" fillId="4" fontId="16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16" numFmtId="165" xfId="0" applyAlignment="1" applyFont="1" applyNumberForma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readingOrder="0" vertical="bottom"/>
    </xf>
    <xf borderId="0" fillId="0" fontId="16" numFmtId="0" xfId="0" applyAlignment="1" applyFont="1">
      <alignment horizontal="right" vertical="bottom"/>
    </xf>
    <xf borderId="0" fillId="0" fontId="16" numFmtId="168" xfId="0" applyAlignment="1" applyFont="1" applyNumberFormat="1">
      <alignment vertical="bottom"/>
    </xf>
    <xf borderId="0" fillId="6" fontId="17" numFmtId="169" xfId="0" applyAlignment="1" applyFont="1" applyNumberFormat="1">
      <alignment readingOrder="0"/>
    </xf>
    <xf borderId="0" fillId="8" fontId="3" numFmtId="0" xfId="0" applyAlignment="1" applyFill="1" applyFont="1">
      <alignment readingOrder="0"/>
    </xf>
    <xf borderId="0" fillId="6" fontId="2" numFmtId="4" xfId="0" applyAlignment="1" applyFont="1" applyNumberFormat="1">
      <alignment readingOrder="0"/>
    </xf>
    <xf borderId="0" fillId="0" fontId="2" numFmtId="2" xfId="0" applyFont="1" applyNumberFormat="1"/>
    <xf borderId="0" fillId="3" fontId="3" numFmtId="0" xfId="0" applyAlignment="1" applyFont="1">
      <alignment readingOrder="0"/>
    </xf>
    <xf borderId="0" fillId="0" fontId="16" numFmtId="4" xfId="0" applyAlignment="1" applyFont="1" applyNumberFormat="1">
      <alignment horizontal="right" vertical="bottom"/>
    </xf>
    <xf borderId="0" fillId="0" fontId="2" numFmtId="4" xfId="0" applyAlignment="1" applyFont="1" applyNumberFormat="1">
      <alignment readingOrder="0"/>
    </xf>
    <xf borderId="0" fillId="8" fontId="2" numFmtId="0" xfId="0" applyAlignment="1" applyFont="1">
      <alignment readingOrder="0"/>
    </xf>
    <xf borderId="0" fillId="8" fontId="16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169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2" numFmtId="170" xfId="0" applyAlignment="1" applyFont="1" applyNumberFormat="1">
      <alignment readingOrder="0"/>
    </xf>
    <xf borderId="0" fillId="9" fontId="2" numFmtId="170" xfId="0" applyAlignment="1" applyFill="1" applyFont="1" applyNumberFormat="1">
      <alignment readingOrder="0"/>
    </xf>
    <xf borderId="0" fillId="0" fontId="2" numFmtId="0" xfId="0" applyAlignment="1" applyFont="1">
      <alignment readingOrder="0"/>
    </xf>
    <xf borderId="0" fillId="9" fontId="2" numFmtId="0" xfId="0" applyAlignment="1" applyFont="1">
      <alignment readingOrder="0"/>
    </xf>
    <xf borderId="0" fillId="0" fontId="2" numFmtId="166" xfId="0" applyAlignment="1" applyFont="1" applyNumberFormat="1">
      <alignment horizontal="center" readingOrder="0"/>
    </xf>
    <xf borderId="0" fillId="10" fontId="2" numFmtId="170" xfId="0" applyAlignment="1" applyFill="1" applyFont="1" applyNumberFormat="1">
      <alignment readingOrder="0"/>
    </xf>
    <xf borderId="0" fillId="10" fontId="2" numFmtId="0" xfId="0" applyAlignment="1" applyFont="1">
      <alignment readingOrder="0"/>
    </xf>
    <xf borderId="0" fillId="10" fontId="2" numFmtId="166" xfId="0" applyAlignment="1" applyFont="1" applyNumberFormat="1">
      <alignment horizontal="center" readingOrder="0"/>
    </xf>
    <xf borderId="0" fillId="10" fontId="2" numFmtId="0" xfId="0" applyAlignment="1" applyFont="1">
      <alignment horizontal="center"/>
    </xf>
    <xf borderId="0" fillId="10" fontId="2" numFmtId="0" xfId="0" applyAlignment="1" applyFont="1">
      <alignment horizontal="left" readingOrder="0"/>
    </xf>
    <xf borderId="0" fillId="3" fontId="2" numFmtId="0" xfId="0" applyFont="1"/>
    <xf borderId="0" fillId="3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3" fontId="2" numFmtId="0" xfId="0" applyAlignment="1" applyFont="1">
      <alignment readingOrder="0"/>
    </xf>
    <xf borderId="0" fillId="3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8" fontId="2" numFmtId="4" xfId="0" applyAlignment="1" applyFont="1" applyNumberFormat="1">
      <alignment readingOrder="0"/>
    </xf>
    <xf borderId="0" fillId="8" fontId="16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333375</xdr:colOff>
      <xdr:row>11</xdr:row>
      <xdr:rowOff>123825</xdr:rowOff>
    </xdr:from>
    <xdr:ext cx="8143875" cy="31432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47625</xdr:colOff>
      <xdr:row>13</xdr:row>
      <xdr:rowOff>57150</xdr:rowOff>
    </xdr:from>
    <xdr:ext cx="8553450" cy="3819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9525</xdr:colOff>
      <xdr:row>9</xdr:row>
      <xdr:rowOff>200025</xdr:rowOff>
    </xdr:from>
    <xdr:ext cx="8020050" cy="22574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352425</xdr:colOff>
      <xdr:row>8</xdr:row>
      <xdr:rowOff>133350</xdr:rowOff>
    </xdr:from>
    <xdr:ext cx="8134350" cy="23050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952500</xdr:colOff>
      <xdr:row>21</xdr:row>
      <xdr:rowOff>28575</xdr:rowOff>
    </xdr:from>
    <xdr:ext cx="8077200" cy="53911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13</xdr:row>
      <xdr:rowOff>0</xdr:rowOff>
    </xdr:from>
    <xdr:ext cx="8705850" cy="32385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afael Campos de Mattos" id="{63fd8d43-8324-4f9f-84c5-02ed9e68fd0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5" dT="2023-08-20T23:29:48.00" personId="{63fd8d43-8324-4f9f-84c5-02ed9e68fd05}" id="{ec5be9a7-64ab-4d8d-939d-214b4e8a27f7}" done="0">
    <x18tc:text xml:space="preserve">$850 + taxes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5" dT="2023-09-27T01:35:37.00" personId="{63fd8d43-8324-4f9f-84c5-02ed9e68fd05}" id="{88d2a881-3c24-4103-a531-1943445a2519}" done="0">
    <x18tc:text xml:space="preserve">$1,850 + taxes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pps.daysmartrecreation.com/dash/x/" TargetMode="External"/><Relationship Id="rId2" Type="http://schemas.openxmlformats.org/officeDocument/2006/relationships/hyperlink" Target="https://apps.daysmartrecreation.com/dash/x/" TargetMode="External"/><Relationship Id="rId3" Type="http://schemas.openxmlformats.org/officeDocument/2006/relationships/hyperlink" Target="https://apps.daysmartrecreation.com/dash/x/" TargetMode="External"/><Relationship Id="rId4" Type="http://schemas.openxmlformats.org/officeDocument/2006/relationships/hyperlink" Target="https://apps.daysmartrecreation.com/dash/x/" TargetMode="External"/><Relationship Id="rId5" Type="http://schemas.openxmlformats.org/officeDocument/2006/relationships/hyperlink" Target="https://apps.daysmartrecreation.com/dash/x/" TargetMode="External"/><Relationship Id="rId6" Type="http://schemas.openxmlformats.org/officeDocument/2006/relationships/hyperlink" Target="https://apps.daysmartrecreation.com/dash/x/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apps.daysmartrecreation.com/dash/x/" TargetMode="External"/><Relationship Id="rId2" Type="http://schemas.openxmlformats.org/officeDocument/2006/relationships/hyperlink" Target="https://apps.daysmartrecreation.com/dash/x/" TargetMode="External"/><Relationship Id="rId3" Type="http://schemas.openxmlformats.org/officeDocument/2006/relationships/hyperlink" Target="https://apps.daysmartrecreation.com/dash/x/" TargetMode="External"/><Relationship Id="rId4" Type="http://schemas.openxmlformats.org/officeDocument/2006/relationships/hyperlink" Target="https://apps.daysmartrecreation.com/dash/x/" TargetMode="External"/><Relationship Id="rId5" Type="http://schemas.openxmlformats.org/officeDocument/2006/relationships/hyperlink" Target="https://apps.daysmartrecreation.com/dash/x/" TargetMode="External"/><Relationship Id="rId6" Type="http://schemas.openxmlformats.org/officeDocument/2006/relationships/hyperlink" Target="https://apps.daysmartrecreation.com/dash/x/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apps.daysmartrecreation.com/dash/x/" TargetMode="External"/><Relationship Id="rId10" Type="http://schemas.openxmlformats.org/officeDocument/2006/relationships/hyperlink" Target="https://apps.daysmartrecreation.com/dash/x/" TargetMode="External"/><Relationship Id="rId13" Type="http://schemas.openxmlformats.org/officeDocument/2006/relationships/hyperlink" Target="https://apps.daysmartrecreation.com/dash/x/" TargetMode="External"/><Relationship Id="rId12" Type="http://schemas.openxmlformats.org/officeDocument/2006/relationships/hyperlink" Target="https://apps.daysmartrecreation.com/dash/x/" TargetMode="External"/><Relationship Id="rId1" Type="http://schemas.openxmlformats.org/officeDocument/2006/relationships/hyperlink" Target="https://apps.daysmartrecreation.com/dash/x/" TargetMode="External"/><Relationship Id="rId2" Type="http://schemas.openxmlformats.org/officeDocument/2006/relationships/hyperlink" Target="https://apps.daysmartrecreation.com/dash/x/" TargetMode="External"/><Relationship Id="rId3" Type="http://schemas.openxmlformats.org/officeDocument/2006/relationships/hyperlink" Target="https://apps.daysmartrecreation.com/dash/x/" TargetMode="External"/><Relationship Id="rId4" Type="http://schemas.openxmlformats.org/officeDocument/2006/relationships/hyperlink" Target="https://apps.daysmartrecreation.com/dash/x/" TargetMode="External"/><Relationship Id="rId9" Type="http://schemas.openxmlformats.org/officeDocument/2006/relationships/hyperlink" Target="https://apps.daysmartrecreation.com/dash/x/" TargetMode="External"/><Relationship Id="rId15" Type="http://schemas.openxmlformats.org/officeDocument/2006/relationships/hyperlink" Target="https://apps.daysmartrecreation.com/dash/x/" TargetMode="External"/><Relationship Id="rId14" Type="http://schemas.openxmlformats.org/officeDocument/2006/relationships/hyperlink" Target="https://apps.daysmartrecreation.com/dash/x/" TargetMode="External"/><Relationship Id="rId17" Type="http://schemas.openxmlformats.org/officeDocument/2006/relationships/hyperlink" Target="https://apps.daysmartrecreation.com/dash/x/" TargetMode="External"/><Relationship Id="rId16" Type="http://schemas.openxmlformats.org/officeDocument/2006/relationships/hyperlink" Target="https://apps.daysmartrecreation.com/dash/x/" TargetMode="External"/><Relationship Id="rId5" Type="http://schemas.openxmlformats.org/officeDocument/2006/relationships/hyperlink" Target="https://apps.daysmartrecreation.com/dash/x/" TargetMode="External"/><Relationship Id="rId19" Type="http://schemas.openxmlformats.org/officeDocument/2006/relationships/drawing" Target="../drawings/drawing8.xml"/><Relationship Id="rId6" Type="http://schemas.openxmlformats.org/officeDocument/2006/relationships/hyperlink" Target="https://apps.daysmartrecreation.com/dash/x/" TargetMode="External"/><Relationship Id="rId18" Type="http://schemas.openxmlformats.org/officeDocument/2006/relationships/hyperlink" Target="https://apps.daysmartrecreation.com/dash/x/" TargetMode="External"/><Relationship Id="rId7" Type="http://schemas.openxmlformats.org/officeDocument/2006/relationships/hyperlink" Target="https://apps.daysmartrecreation.com/dash/x/" TargetMode="External"/><Relationship Id="rId8" Type="http://schemas.openxmlformats.org/officeDocument/2006/relationships/hyperlink" Target="https://apps.daysmartrecreation.com/dash/x/" TargetMode="External"/></Relationships>
</file>

<file path=xl/worksheets/_rels/sheet9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9.xml"/><Relationship Id="rId1" Type="http://schemas.openxmlformats.org/officeDocument/2006/relationships/hyperlink" Target="https://apps.daysmartrecreation.com/dash/x/" TargetMode="External"/><Relationship Id="rId2" Type="http://schemas.openxmlformats.org/officeDocument/2006/relationships/hyperlink" Target="https://apps.daysmartrecreation.com/dash/x/" TargetMode="External"/><Relationship Id="rId3" Type="http://schemas.openxmlformats.org/officeDocument/2006/relationships/hyperlink" Target="https://apps.daysmartrecreation.com/dash/x/" TargetMode="External"/><Relationship Id="rId4" Type="http://schemas.openxmlformats.org/officeDocument/2006/relationships/hyperlink" Target="https://apps.daysmartrecreation.com/dash/x/" TargetMode="External"/><Relationship Id="rId9" Type="http://schemas.openxmlformats.org/officeDocument/2006/relationships/hyperlink" Target="https://apps.daysmartrecreation.com/dash/x/" TargetMode="External"/><Relationship Id="rId5" Type="http://schemas.openxmlformats.org/officeDocument/2006/relationships/hyperlink" Target="https://apps.daysmartrecreation.com/dash/x/" TargetMode="External"/><Relationship Id="rId6" Type="http://schemas.openxmlformats.org/officeDocument/2006/relationships/hyperlink" Target="https://apps.daysmartrecreation.com/dash/x/" TargetMode="External"/><Relationship Id="rId7" Type="http://schemas.openxmlformats.org/officeDocument/2006/relationships/hyperlink" Target="https://apps.daysmartrecreation.com/dash/x/" TargetMode="External"/><Relationship Id="rId8" Type="http://schemas.openxmlformats.org/officeDocument/2006/relationships/hyperlink" Target="https://apps.daysmartrecreation.com/dash/x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8.xml"/><Relationship Id="rId5" Type="http://schemas.openxmlformats.org/officeDocument/2006/relationships/vmlDrawing" Target="../drawings/vmlDrawing1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9.xml"/><Relationship Id="rId5" Type="http://schemas.openxmlformats.org/officeDocument/2006/relationships/vmlDrawing" Target="../drawings/vmlDrawing2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5"/>
    <col customWidth="1" min="2" max="2" width="31.5"/>
    <col customWidth="1" min="3" max="4" width="19.0"/>
    <col customWidth="1" min="5" max="5" width="22.38"/>
    <col customWidth="1" min="6" max="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2" t="s">
        <v>5</v>
      </c>
      <c r="B2" s="2" t="s">
        <v>6</v>
      </c>
      <c r="C2" s="2"/>
      <c r="D2" s="2"/>
      <c r="E2" s="2"/>
      <c r="F2" s="2" t="s">
        <v>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2" t="s">
        <v>8</v>
      </c>
      <c r="B3" s="2" t="s">
        <v>9</v>
      </c>
      <c r="C3" s="2"/>
      <c r="D3" s="2" t="s">
        <v>10</v>
      </c>
      <c r="E3" s="2"/>
      <c r="F3" s="2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2" t="s">
        <v>11</v>
      </c>
      <c r="B4" s="2" t="s">
        <v>12</v>
      </c>
      <c r="C4" s="4">
        <f>14253820839</f>
        <v>14253820839</v>
      </c>
      <c r="D4" s="2"/>
      <c r="E4" s="2" t="s">
        <v>10</v>
      </c>
      <c r="F4" s="2" t="s">
        <v>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2" t="s">
        <v>13</v>
      </c>
      <c r="B5" s="2"/>
      <c r="C5" s="5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2" t="s">
        <v>14</v>
      </c>
      <c r="B6" s="2" t="s">
        <v>15</v>
      </c>
      <c r="C6" s="5" t="s">
        <v>16</v>
      </c>
      <c r="D6" s="2"/>
      <c r="E6" s="2" t="s">
        <v>10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2" t="s">
        <v>17</v>
      </c>
      <c r="B7" s="2" t="s">
        <v>18</v>
      </c>
      <c r="C7" s="5" t="s">
        <v>19</v>
      </c>
      <c r="D7" s="2" t="s">
        <v>10</v>
      </c>
      <c r="E7" s="2" t="s">
        <v>10</v>
      </c>
      <c r="F7" s="2" t="s">
        <v>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2" t="s">
        <v>20</v>
      </c>
      <c r="B8" s="2" t="s">
        <v>21</v>
      </c>
      <c r="C8" s="5" t="s">
        <v>22</v>
      </c>
      <c r="D8" s="2"/>
      <c r="E8" s="2"/>
      <c r="F8" s="2" t="s">
        <v>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2" t="s">
        <v>23</v>
      </c>
      <c r="B9" s="2" t="s">
        <v>24</v>
      </c>
      <c r="C9" s="2"/>
      <c r="D9" s="2" t="s">
        <v>10</v>
      </c>
      <c r="E9" s="2"/>
      <c r="F9" s="2" t="s">
        <v>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2" t="s">
        <v>25</v>
      </c>
      <c r="B10" s="2"/>
      <c r="C10" s="4" t="s">
        <v>26</v>
      </c>
      <c r="D10" s="2"/>
      <c r="E10" s="2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2" t="s">
        <v>27</v>
      </c>
      <c r="B11" s="2" t="s">
        <v>28</v>
      </c>
      <c r="C11" s="2"/>
      <c r="D11" s="2"/>
      <c r="E11" s="2" t="s">
        <v>10</v>
      </c>
      <c r="F11" s="2" t="s">
        <v>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2" t="s">
        <v>29</v>
      </c>
      <c r="B12" s="2" t="s">
        <v>30</v>
      </c>
      <c r="C12" s="2"/>
      <c r="D12" s="2" t="s">
        <v>10</v>
      </c>
      <c r="E12" s="2"/>
      <c r="F12" s="2" t="s">
        <v>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2" t="s">
        <v>31</v>
      </c>
      <c r="B13" s="2" t="s">
        <v>32</v>
      </c>
      <c r="C13" s="5" t="s">
        <v>33</v>
      </c>
      <c r="D13" s="2" t="s">
        <v>10</v>
      </c>
      <c r="E13" s="2" t="s">
        <v>10</v>
      </c>
      <c r="F13" s="2" t="s">
        <v>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2" t="s">
        <v>34</v>
      </c>
      <c r="B14" s="2"/>
      <c r="C14" s="5" t="s">
        <v>35</v>
      </c>
      <c r="D14" s="2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2" t="s">
        <v>36</v>
      </c>
      <c r="B15" s="2" t="s">
        <v>37</v>
      </c>
      <c r="C15" s="2"/>
      <c r="D15" s="2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2" t="s">
        <v>38</v>
      </c>
      <c r="B16" s="2"/>
      <c r="C16" s="2" t="s">
        <v>39</v>
      </c>
      <c r="D16" s="2" t="s">
        <v>10</v>
      </c>
      <c r="E16" s="2" t="s">
        <v>10</v>
      </c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2" t="s">
        <v>40</v>
      </c>
      <c r="B17" s="2" t="s">
        <v>41</v>
      </c>
      <c r="C17" s="5"/>
      <c r="D17" s="2"/>
      <c r="E17" s="2" t="s">
        <v>10</v>
      </c>
      <c r="F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2" t="s">
        <v>42</v>
      </c>
      <c r="B18" s="2" t="s">
        <v>43</v>
      </c>
      <c r="C18" s="5" t="s">
        <v>44</v>
      </c>
      <c r="D18" s="2"/>
      <c r="E18" s="2" t="s">
        <v>10</v>
      </c>
      <c r="F18" s="2" t="s">
        <v>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2" t="s">
        <v>45</v>
      </c>
      <c r="B19" s="2" t="s">
        <v>46</v>
      </c>
      <c r="C19" s="2"/>
      <c r="D19" s="2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2" t="s">
        <v>47</v>
      </c>
      <c r="B20" s="2" t="s">
        <v>48</v>
      </c>
      <c r="C20" s="2"/>
      <c r="D20" s="2"/>
      <c r="E20" s="2"/>
      <c r="F20" s="2" t="s">
        <v>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2" t="s">
        <v>49</v>
      </c>
      <c r="B21" s="2" t="s">
        <v>50</v>
      </c>
      <c r="C21" s="2"/>
      <c r="D21" s="2"/>
      <c r="E21" s="2"/>
      <c r="F21" s="2" t="s">
        <v>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2" t="s">
        <v>51</v>
      </c>
      <c r="B22" s="2" t="s">
        <v>52</v>
      </c>
      <c r="C22" s="5" t="s">
        <v>53</v>
      </c>
      <c r="D22" s="2"/>
      <c r="E22" s="2" t="s">
        <v>10</v>
      </c>
      <c r="F22" s="2" t="s">
        <v>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2" t="s">
        <v>54</v>
      </c>
      <c r="B23" s="2" t="s">
        <v>55</v>
      </c>
      <c r="C23" s="5" t="s">
        <v>56</v>
      </c>
      <c r="D23" s="2"/>
      <c r="E23" s="2" t="s">
        <v>10</v>
      </c>
      <c r="F23" s="2" t="s">
        <v>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2" t="s">
        <v>57</v>
      </c>
      <c r="B24" s="2" t="s">
        <v>58</v>
      </c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2" t="s">
        <v>59</v>
      </c>
      <c r="B25" s="2" t="s">
        <v>60</v>
      </c>
      <c r="C25" s="2"/>
      <c r="D25" s="2"/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2" t="s">
        <v>61</v>
      </c>
      <c r="B26" s="2" t="s">
        <v>62</v>
      </c>
      <c r="C26" s="5"/>
      <c r="D26" s="2"/>
      <c r="E26" s="2" t="s">
        <v>10</v>
      </c>
      <c r="F26" s="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2" t="s">
        <v>63</v>
      </c>
      <c r="B27" s="2" t="s">
        <v>64</v>
      </c>
      <c r="C27" s="5" t="s">
        <v>65</v>
      </c>
      <c r="D27" s="2"/>
      <c r="E27" s="2" t="s">
        <v>10</v>
      </c>
      <c r="F27" s="2" t="s">
        <v>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6" t="s">
        <v>66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1" t="s">
        <v>0</v>
      </c>
      <c r="B30" s="1" t="s">
        <v>1</v>
      </c>
      <c r="C30" s="1" t="s">
        <v>2</v>
      </c>
      <c r="D30" s="7"/>
      <c r="E30" s="7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8" t="s">
        <v>67</v>
      </c>
      <c r="B31" s="8" t="s">
        <v>68</v>
      </c>
      <c r="C31" s="7"/>
      <c r="D31" s="7"/>
      <c r="E31" s="7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8" t="s">
        <v>69</v>
      </c>
      <c r="B32" s="8" t="s">
        <v>70</v>
      </c>
      <c r="C32" s="2"/>
      <c r="D32" s="2"/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2" t="s">
        <v>71</v>
      </c>
      <c r="B33" s="2" t="s">
        <v>72</v>
      </c>
      <c r="C33" s="2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2" t="s">
        <v>73</v>
      </c>
      <c r="B34" s="2" t="s">
        <v>74</v>
      </c>
      <c r="C34" s="4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2" t="s">
        <v>75</v>
      </c>
      <c r="B35" s="2" t="s">
        <v>76</v>
      </c>
      <c r="C35" s="4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2" t="s">
        <v>77</v>
      </c>
      <c r="B36" s="2" t="s">
        <v>78</v>
      </c>
      <c r="C36" s="4" t="s">
        <v>79</v>
      </c>
      <c r="D36" s="2"/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2" t="s">
        <v>80</v>
      </c>
      <c r="B37" s="2" t="s">
        <v>81</v>
      </c>
      <c r="C37" s="4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3"/>
      <c r="C38" s="4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3"/>
      <c r="C39" s="4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3"/>
      <c r="C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3"/>
      <c r="C41" s="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3"/>
      <c r="C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C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/>
      <c r="C44" s="4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C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</row>
  </sheetData>
  <autoFilter ref="$A$1:$E$2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13"/>
    <col customWidth="1" min="2" max="2" width="18.75"/>
    <col customWidth="1" hidden="1" min="3" max="4" width="11.13"/>
    <col customWidth="1" min="5" max="8" width="11.13"/>
    <col customWidth="1" min="9" max="9" width="18.75"/>
    <col customWidth="1" min="10" max="11" width="3.25"/>
    <col customWidth="1" min="12" max="12" width="14.5"/>
    <col customWidth="1" min="13" max="13" width="11.13"/>
    <col customWidth="1" min="14" max="14" width="15.63"/>
    <col customWidth="1" min="15" max="17" width="11.13"/>
    <col customWidth="1" min="18" max="18" width="4.63"/>
    <col customWidth="1" min="19" max="19" width="31.13"/>
    <col customWidth="1" min="20" max="28" width="8.25"/>
    <col customWidth="1" min="29" max="29" width="4.63"/>
  </cols>
  <sheetData>
    <row r="1">
      <c r="A1" s="9" t="s">
        <v>82</v>
      </c>
      <c r="B1" s="10" t="s">
        <v>83</v>
      </c>
      <c r="C1" s="10"/>
      <c r="D1" s="10"/>
      <c r="E1" s="10"/>
      <c r="F1" s="10"/>
      <c r="G1" s="10"/>
      <c r="H1" s="10"/>
      <c r="I1" s="11"/>
      <c r="J1" s="11"/>
      <c r="K1" s="11"/>
      <c r="L1" s="11"/>
      <c r="M1" s="11"/>
      <c r="N1" s="11"/>
      <c r="O1" s="11"/>
      <c r="P1" s="11"/>
      <c r="Q1" s="11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9" t="s">
        <v>84</v>
      </c>
      <c r="B2" s="10" t="s">
        <v>85</v>
      </c>
      <c r="C2" s="12"/>
      <c r="D2" s="12"/>
      <c r="E2" s="12"/>
      <c r="F2" s="12"/>
      <c r="G2" s="12"/>
      <c r="H2" s="12"/>
      <c r="I2" s="4" t="s">
        <v>86</v>
      </c>
      <c r="J2" s="13"/>
      <c r="K2" s="14"/>
      <c r="L2" s="14"/>
      <c r="M2" s="14"/>
      <c r="N2" s="4"/>
      <c r="O2" s="4" t="s">
        <v>87</v>
      </c>
      <c r="P2" s="4" t="s">
        <v>88</v>
      </c>
      <c r="Q2" s="4" t="s">
        <v>89</v>
      </c>
      <c r="R2" s="12"/>
      <c r="S2" s="15" t="s">
        <v>90</v>
      </c>
      <c r="T2" s="15" t="s">
        <v>91</v>
      </c>
      <c r="U2" s="15" t="s">
        <v>92</v>
      </c>
      <c r="V2" s="15" t="s">
        <v>93</v>
      </c>
      <c r="W2" s="15" t="s">
        <v>94</v>
      </c>
      <c r="X2" s="15" t="s">
        <v>95</v>
      </c>
      <c r="Y2" s="15" t="s">
        <v>96</v>
      </c>
      <c r="Z2" s="15" t="s">
        <v>97</v>
      </c>
      <c r="AA2" s="15" t="s">
        <v>98</v>
      </c>
      <c r="AB2" s="15" t="s">
        <v>99</v>
      </c>
    </row>
    <row r="3">
      <c r="A3" s="9" t="s">
        <v>100</v>
      </c>
      <c r="B3" s="10" t="s">
        <v>101</v>
      </c>
      <c r="C3" s="10"/>
      <c r="D3" s="10"/>
      <c r="E3" s="10"/>
      <c r="F3" s="10"/>
      <c r="G3" s="10"/>
      <c r="H3" s="10"/>
      <c r="I3" s="4" t="s">
        <v>102</v>
      </c>
      <c r="J3" s="14"/>
      <c r="K3" s="14"/>
      <c r="L3" s="14"/>
      <c r="M3" s="14"/>
      <c r="N3" s="4" t="str">
        <f>B10</f>
        <v>Arthur Mendes</v>
      </c>
      <c r="O3" s="16"/>
      <c r="P3" s="10"/>
      <c r="Q3" s="16"/>
      <c r="R3" s="10"/>
      <c r="S3" s="17" t="s">
        <v>103</v>
      </c>
      <c r="T3" s="18">
        <v>10.0</v>
      </c>
      <c r="U3" s="18">
        <v>1.0</v>
      </c>
      <c r="V3" s="18">
        <v>1.0</v>
      </c>
      <c r="W3" s="18">
        <f t="shared" ref="W3:W10" si="1">T3*3+V3</f>
        <v>31</v>
      </c>
      <c r="X3" s="18">
        <v>82.0</v>
      </c>
      <c r="Y3" s="18">
        <v>51.0</v>
      </c>
      <c r="Z3" s="18">
        <f t="shared" ref="Z3:Z10" si="2">X3-Y3</f>
        <v>31</v>
      </c>
      <c r="AA3" s="19">
        <v>0.875</v>
      </c>
      <c r="AB3" s="5">
        <f t="shared" ref="AB3:AB10" si="3">sum(T3:V3)</f>
        <v>12</v>
      </c>
    </row>
    <row r="4">
      <c r="A4" s="9" t="s">
        <v>104</v>
      </c>
      <c r="B4" s="5">
        <v>12.0</v>
      </c>
      <c r="I4" s="4" t="s">
        <v>105</v>
      </c>
      <c r="J4" s="4">
        <v>4.0</v>
      </c>
      <c r="K4" s="4">
        <v>2.0</v>
      </c>
      <c r="L4" s="4" t="s">
        <v>106</v>
      </c>
      <c r="M4" s="14"/>
      <c r="N4" s="4" t="str">
        <f>B12</f>
        <v>Daniel Tedesco</v>
      </c>
      <c r="O4" s="16"/>
      <c r="P4" s="16"/>
      <c r="Q4" s="16"/>
      <c r="S4" s="17" t="s">
        <v>107</v>
      </c>
      <c r="T4" s="18">
        <v>7.0</v>
      </c>
      <c r="U4" s="18">
        <v>3.0</v>
      </c>
      <c r="V4" s="18">
        <v>2.0</v>
      </c>
      <c r="W4" s="18">
        <f t="shared" si="1"/>
        <v>23</v>
      </c>
      <c r="X4" s="18">
        <v>58.0</v>
      </c>
      <c r="Y4" s="18">
        <v>50.0</v>
      </c>
      <c r="Z4" s="18">
        <f t="shared" si="2"/>
        <v>8</v>
      </c>
      <c r="AA4" s="19">
        <v>0.6667</v>
      </c>
      <c r="AB4" s="5">
        <f t="shared" si="3"/>
        <v>12</v>
      </c>
    </row>
    <row r="5">
      <c r="A5" s="9" t="s">
        <v>108</v>
      </c>
      <c r="B5" s="20">
        <f>1895*(1+0.0475)</f>
        <v>1985.0125</v>
      </c>
      <c r="I5" s="14"/>
      <c r="J5" s="14"/>
      <c r="K5" s="14"/>
      <c r="L5" s="14"/>
      <c r="M5" s="14"/>
      <c r="N5" s="4" t="str">
        <f>B14</f>
        <v>Joao Barros</v>
      </c>
      <c r="O5" s="16"/>
      <c r="P5" s="16"/>
      <c r="Q5" s="16"/>
      <c r="S5" s="21" t="s">
        <v>109</v>
      </c>
      <c r="T5" s="18">
        <v>7.0</v>
      </c>
      <c r="U5" s="18">
        <v>5.0</v>
      </c>
      <c r="V5" s="18">
        <v>0.0</v>
      </c>
      <c r="W5" s="18">
        <f t="shared" si="1"/>
        <v>21</v>
      </c>
      <c r="X5" s="18">
        <v>83.0</v>
      </c>
      <c r="Y5" s="18">
        <v>76.0</v>
      </c>
      <c r="Z5" s="18">
        <f t="shared" si="2"/>
        <v>7</v>
      </c>
      <c r="AA5" s="19">
        <v>0.5833</v>
      </c>
      <c r="AB5" s="5">
        <f t="shared" si="3"/>
        <v>12</v>
      </c>
    </row>
    <row r="6">
      <c r="A6" s="9" t="s">
        <v>110</v>
      </c>
      <c r="B6" s="22">
        <v>45664.0</v>
      </c>
      <c r="C6" s="23"/>
      <c r="I6" s="14"/>
      <c r="J6" s="14"/>
      <c r="K6" s="14"/>
      <c r="L6" s="14"/>
      <c r="M6" s="14"/>
      <c r="N6" s="24" t="str">
        <f>B17</f>
        <v>Rafael Franco</v>
      </c>
      <c r="O6" s="10">
        <v>1.0</v>
      </c>
      <c r="P6" s="10"/>
      <c r="Q6" s="16"/>
      <c r="S6" s="21" t="s">
        <v>111</v>
      </c>
      <c r="T6" s="18">
        <v>6.0</v>
      </c>
      <c r="U6" s="18">
        <v>4.0</v>
      </c>
      <c r="V6" s="18">
        <v>1.0</v>
      </c>
      <c r="W6" s="18">
        <f t="shared" si="1"/>
        <v>19</v>
      </c>
      <c r="X6" s="18">
        <v>60.0</v>
      </c>
      <c r="Y6" s="18">
        <v>57.0</v>
      </c>
      <c r="Z6" s="18">
        <f t="shared" si="2"/>
        <v>3</v>
      </c>
      <c r="AA6" s="19">
        <v>0.5909</v>
      </c>
      <c r="AB6" s="5">
        <f t="shared" si="3"/>
        <v>11</v>
      </c>
    </row>
    <row r="7">
      <c r="I7" s="14"/>
      <c r="J7" s="14"/>
      <c r="K7" s="14"/>
      <c r="L7" s="14"/>
      <c r="M7" s="14"/>
      <c r="N7" s="4" t="str">
        <f t="shared" ref="N7:N8" si="4">B20</f>
        <v>Roberto Machado</v>
      </c>
      <c r="O7" s="16"/>
      <c r="P7" s="16"/>
      <c r="Q7" s="16"/>
      <c r="S7" s="21" t="s">
        <v>112</v>
      </c>
      <c r="T7" s="18">
        <v>5.0</v>
      </c>
      <c r="U7" s="18">
        <v>4.0</v>
      </c>
      <c r="V7" s="18">
        <v>2.0</v>
      </c>
      <c r="W7" s="18">
        <f t="shared" si="1"/>
        <v>17</v>
      </c>
      <c r="X7" s="18">
        <v>73.0</v>
      </c>
      <c r="Y7" s="18">
        <v>70.0</v>
      </c>
      <c r="Z7" s="18">
        <f t="shared" si="2"/>
        <v>3</v>
      </c>
      <c r="AA7" s="19">
        <v>0.5455</v>
      </c>
      <c r="AB7" s="5">
        <f t="shared" si="3"/>
        <v>11</v>
      </c>
    </row>
    <row r="8">
      <c r="I8" s="14"/>
      <c r="J8" s="14"/>
      <c r="K8" s="14"/>
      <c r="L8" s="14"/>
      <c r="M8" s="14"/>
      <c r="N8" s="4" t="str">
        <f t="shared" si="4"/>
        <v>Sergio Filho</v>
      </c>
      <c r="O8" s="10">
        <v>2.0</v>
      </c>
      <c r="P8" s="16"/>
      <c r="Q8" s="16"/>
      <c r="S8" s="21" t="s">
        <v>113</v>
      </c>
      <c r="T8" s="18">
        <v>4.0</v>
      </c>
      <c r="U8" s="18">
        <v>5.0</v>
      </c>
      <c r="V8" s="18">
        <v>3.0</v>
      </c>
      <c r="W8" s="18">
        <f t="shared" si="1"/>
        <v>15</v>
      </c>
      <c r="X8" s="18">
        <v>72.0</v>
      </c>
      <c r="Y8" s="18">
        <v>84.0</v>
      </c>
      <c r="Z8" s="18">
        <f t="shared" si="2"/>
        <v>-12</v>
      </c>
      <c r="AA8" s="19">
        <v>0.4583</v>
      </c>
      <c r="AB8" s="5">
        <f t="shared" si="3"/>
        <v>12</v>
      </c>
    </row>
    <row r="9">
      <c r="A9" s="25"/>
      <c r="B9" s="9" t="s">
        <v>114</v>
      </c>
      <c r="C9" s="9" t="s">
        <v>115</v>
      </c>
      <c r="D9" s="9" t="s">
        <v>116</v>
      </c>
      <c r="E9" s="9" t="s">
        <v>117</v>
      </c>
      <c r="F9" s="9" t="s">
        <v>118</v>
      </c>
      <c r="G9" s="9" t="s">
        <v>119</v>
      </c>
      <c r="H9" s="9"/>
      <c r="I9" s="14"/>
      <c r="J9" s="14"/>
      <c r="K9" s="14"/>
      <c r="L9" s="14"/>
      <c r="M9" s="14"/>
      <c r="N9" s="4" t="str">
        <f>B25</f>
        <v>Cleiton Castro</v>
      </c>
      <c r="O9" s="10">
        <v>1.0</v>
      </c>
      <c r="P9" s="10"/>
      <c r="Q9" s="10"/>
      <c r="R9" s="9"/>
      <c r="S9" s="21" t="s">
        <v>120</v>
      </c>
      <c r="T9" s="18">
        <v>2.0</v>
      </c>
      <c r="U9" s="18">
        <v>10.0</v>
      </c>
      <c r="V9" s="18">
        <v>0.0</v>
      </c>
      <c r="W9" s="18">
        <f t="shared" si="1"/>
        <v>6</v>
      </c>
      <c r="X9" s="18">
        <v>55.0</v>
      </c>
      <c r="Y9" s="18">
        <v>72.0</v>
      </c>
      <c r="Z9" s="18">
        <f t="shared" si="2"/>
        <v>-17</v>
      </c>
      <c r="AA9" s="19">
        <v>0.1667</v>
      </c>
      <c r="AB9" s="5">
        <f t="shared" si="3"/>
        <v>12</v>
      </c>
    </row>
    <row r="10">
      <c r="A10" s="9">
        <v>1.0</v>
      </c>
      <c r="B10" s="5" t="s">
        <v>5</v>
      </c>
      <c r="C10" s="26">
        <f t="shared" ref="C10:C21" si="5">$B$5/12</f>
        <v>165.4177083</v>
      </c>
      <c r="D10" s="4" t="s">
        <v>121</v>
      </c>
      <c r="E10" s="24">
        <f t="shared" ref="E10:E21" si="6">sumif($N:$N,B10,$O:$O)</f>
        <v>8</v>
      </c>
      <c r="F10" s="24">
        <f t="shared" ref="F10:F21" si="7">sumif($N:$N,B10,$P:$P)</f>
        <v>2</v>
      </c>
      <c r="G10" s="24">
        <f t="shared" ref="G10:G21" si="8">sumif($N:$N,B10,$Q:$Q)</f>
        <v>0</v>
      </c>
      <c r="H10" s="4"/>
      <c r="I10" s="14"/>
      <c r="J10" s="14"/>
      <c r="K10" s="14"/>
      <c r="L10" s="14"/>
      <c r="M10" s="14"/>
      <c r="N10" s="4" t="str">
        <f>B27</f>
        <v>Gustavo Bittencourt</v>
      </c>
      <c r="O10" s="16"/>
      <c r="P10" s="10"/>
      <c r="Q10" s="10"/>
      <c r="R10" s="4"/>
      <c r="S10" s="21" t="s">
        <v>122</v>
      </c>
      <c r="T10" s="18">
        <v>0.0</v>
      </c>
      <c r="U10" s="18">
        <v>11.0</v>
      </c>
      <c r="V10" s="18">
        <v>1.0</v>
      </c>
      <c r="W10" s="18">
        <f t="shared" si="1"/>
        <v>1</v>
      </c>
      <c r="X10" s="18">
        <v>54.0</v>
      </c>
      <c r="Y10" s="18">
        <v>85.0</v>
      </c>
      <c r="Z10" s="18">
        <f t="shared" si="2"/>
        <v>-31</v>
      </c>
      <c r="AA10" s="19">
        <v>0.0417</v>
      </c>
      <c r="AB10" s="5">
        <f t="shared" si="3"/>
        <v>12</v>
      </c>
    </row>
    <row r="11">
      <c r="A11" s="9">
        <v>2.0</v>
      </c>
      <c r="B11" s="4" t="s">
        <v>123</v>
      </c>
      <c r="C11" s="26">
        <f t="shared" si="5"/>
        <v>165.4177083</v>
      </c>
      <c r="D11" s="4" t="s">
        <v>121</v>
      </c>
      <c r="E11" s="24">
        <f t="shared" si="6"/>
        <v>1</v>
      </c>
      <c r="F11" s="24">
        <f t="shared" si="7"/>
        <v>0</v>
      </c>
      <c r="G11" s="24">
        <f t="shared" si="8"/>
        <v>0</v>
      </c>
      <c r="H11" s="4"/>
      <c r="I11" s="11"/>
      <c r="J11" s="11"/>
      <c r="K11" s="11"/>
      <c r="L11" s="11"/>
      <c r="M11" s="11"/>
      <c r="N11" s="11"/>
      <c r="O11" s="11"/>
      <c r="P11" s="11"/>
      <c r="Q11" s="11"/>
      <c r="R11" s="4"/>
      <c r="S11" s="27"/>
      <c r="T11" s="18"/>
      <c r="U11" s="18"/>
      <c r="V11" s="18"/>
      <c r="W11" s="18"/>
      <c r="X11" s="18"/>
      <c r="Y11" s="18"/>
      <c r="Z11" s="18"/>
      <c r="AA11" s="19"/>
      <c r="AB11" s="5"/>
      <c r="AC11" s="4"/>
    </row>
    <row r="12">
      <c r="A12" s="9">
        <v>3.0</v>
      </c>
      <c r="B12" s="5" t="s">
        <v>124</v>
      </c>
      <c r="C12" s="26">
        <f t="shared" si="5"/>
        <v>165.4177083</v>
      </c>
      <c r="D12" s="4" t="s">
        <v>121</v>
      </c>
      <c r="E12" s="24">
        <f t="shared" si="6"/>
        <v>4</v>
      </c>
      <c r="F12" s="24">
        <f t="shared" si="7"/>
        <v>3</v>
      </c>
      <c r="G12" s="24">
        <f t="shared" si="8"/>
        <v>0</v>
      </c>
      <c r="H12" s="4"/>
      <c r="I12" s="4" t="s">
        <v>125</v>
      </c>
      <c r="J12" s="13"/>
      <c r="K12" s="14"/>
      <c r="L12" s="14"/>
      <c r="M12" s="14"/>
      <c r="O12" s="4" t="s">
        <v>87</v>
      </c>
      <c r="P12" s="4" t="s">
        <v>88</v>
      </c>
      <c r="Q12" s="4" t="s">
        <v>89</v>
      </c>
      <c r="R12" s="4"/>
      <c r="S12" s="27"/>
      <c r="T12" s="18"/>
      <c r="U12" s="18"/>
      <c r="V12" s="18"/>
      <c r="W12" s="18"/>
      <c r="X12" s="18"/>
      <c r="Y12" s="18"/>
      <c r="Z12" s="18"/>
      <c r="AA12" s="19"/>
      <c r="AB12" s="5"/>
      <c r="AC12" s="4"/>
    </row>
    <row r="13">
      <c r="A13" s="9">
        <v>4.0</v>
      </c>
      <c r="B13" s="4" t="s">
        <v>17</v>
      </c>
      <c r="C13" s="26">
        <f t="shared" si="5"/>
        <v>165.4177083</v>
      </c>
      <c r="D13" s="4" t="s">
        <v>121</v>
      </c>
      <c r="E13" s="24">
        <f t="shared" si="6"/>
        <v>21</v>
      </c>
      <c r="F13" s="24">
        <f t="shared" si="7"/>
        <v>1</v>
      </c>
      <c r="G13" s="24">
        <f t="shared" si="8"/>
        <v>1</v>
      </c>
      <c r="H13" s="4"/>
      <c r="I13" s="4" t="s">
        <v>102</v>
      </c>
      <c r="J13" s="14"/>
      <c r="K13" s="14"/>
      <c r="L13" s="14"/>
      <c r="M13" s="14"/>
      <c r="N13" s="4" t="str">
        <f>B10</f>
        <v>Arthur Mendes</v>
      </c>
      <c r="O13" s="10">
        <v>1.0</v>
      </c>
      <c r="P13" s="14"/>
      <c r="Q13" s="1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9">
        <v>5.0</v>
      </c>
      <c r="B14" s="4" t="s">
        <v>29</v>
      </c>
      <c r="C14" s="26">
        <f t="shared" si="5"/>
        <v>165.4177083</v>
      </c>
      <c r="D14" s="4" t="s">
        <v>121</v>
      </c>
      <c r="E14" s="24">
        <f t="shared" si="6"/>
        <v>0</v>
      </c>
      <c r="F14" s="24">
        <f t="shared" si="7"/>
        <v>2</v>
      </c>
      <c r="G14" s="24">
        <f t="shared" si="8"/>
        <v>2</v>
      </c>
      <c r="H14" s="4"/>
      <c r="I14" s="4" t="s">
        <v>126</v>
      </c>
      <c r="J14" s="4">
        <v>2.0</v>
      </c>
      <c r="K14" s="4">
        <v>4.0</v>
      </c>
      <c r="L14" s="4" t="s">
        <v>105</v>
      </c>
      <c r="M14" s="14"/>
      <c r="N14" s="4" t="str">
        <f t="shared" ref="N14:N16" si="9">B12</f>
        <v>Daniel Tedesco</v>
      </c>
      <c r="O14" s="10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9">
        <v>6.0</v>
      </c>
      <c r="B15" s="4" t="s">
        <v>31</v>
      </c>
      <c r="C15" s="26">
        <f t="shared" si="5"/>
        <v>165.4177083</v>
      </c>
      <c r="D15" s="4" t="s">
        <v>121</v>
      </c>
      <c r="E15" s="24">
        <f t="shared" si="6"/>
        <v>0</v>
      </c>
      <c r="F15" s="24">
        <f t="shared" si="7"/>
        <v>0</v>
      </c>
      <c r="G15" s="24">
        <f t="shared" si="8"/>
        <v>0</v>
      </c>
      <c r="H15" s="4"/>
      <c r="I15" s="4"/>
      <c r="J15" s="4"/>
      <c r="K15" s="4"/>
      <c r="L15" s="4"/>
      <c r="M15" s="4"/>
      <c r="N15" s="4" t="str">
        <f t="shared" si="9"/>
        <v>Guilherme Kuster</v>
      </c>
      <c r="O15" s="10">
        <v>3.0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9">
        <v>7.0</v>
      </c>
      <c r="B16" s="4" t="s">
        <v>42</v>
      </c>
      <c r="C16" s="26">
        <f t="shared" si="5"/>
        <v>165.4177083</v>
      </c>
      <c r="D16" s="4" t="s">
        <v>121</v>
      </c>
      <c r="E16" s="24">
        <f t="shared" si="6"/>
        <v>5</v>
      </c>
      <c r="F16" s="24">
        <f t="shared" si="7"/>
        <v>0</v>
      </c>
      <c r="G16" s="24">
        <f t="shared" si="8"/>
        <v>0</v>
      </c>
      <c r="H16" s="4"/>
      <c r="I16" s="4"/>
      <c r="J16" s="4"/>
      <c r="K16" s="4"/>
      <c r="L16" s="4"/>
      <c r="M16" s="4"/>
      <c r="N16" s="4" t="str">
        <f t="shared" si="9"/>
        <v>Joao Barros</v>
      </c>
      <c r="O16" s="10"/>
      <c r="P16" s="10">
        <v>1.0</v>
      </c>
      <c r="Q16" s="10">
        <v>1.0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9">
        <v>8.0</v>
      </c>
      <c r="B17" s="4" t="s">
        <v>47</v>
      </c>
      <c r="C17" s="26">
        <f t="shared" si="5"/>
        <v>165.4177083</v>
      </c>
      <c r="D17" s="4" t="s">
        <v>121</v>
      </c>
      <c r="E17" s="24">
        <f t="shared" si="6"/>
        <v>6</v>
      </c>
      <c r="F17" s="24">
        <f t="shared" si="7"/>
        <v>2</v>
      </c>
      <c r="G17" s="24">
        <f t="shared" si="8"/>
        <v>0</v>
      </c>
      <c r="H17" s="4"/>
      <c r="I17" s="4"/>
      <c r="J17" s="4"/>
      <c r="K17" s="4"/>
      <c r="L17" s="4"/>
      <c r="M17" s="4"/>
      <c r="N17" s="14" t="str">
        <f t="shared" ref="N17:N18" si="10">B17</f>
        <v>Rafael Franco</v>
      </c>
      <c r="O17" s="10"/>
      <c r="P17" s="10"/>
      <c r="Q17" s="10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9">
        <v>9.0</v>
      </c>
      <c r="B18" s="4" t="s">
        <v>49</v>
      </c>
      <c r="C18" s="26">
        <f t="shared" si="5"/>
        <v>165.4177083</v>
      </c>
      <c r="D18" s="4" t="s">
        <v>121</v>
      </c>
      <c r="E18" s="24">
        <f t="shared" si="6"/>
        <v>0</v>
      </c>
      <c r="F18" s="24">
        <f t="shared" si="7"/>
        <v>2</v>
      </c>
      <c r="G18" s="24">
        <f t="shared" si="8"/>
        <v>0</v>
      </c>
      <c r="H18" s="4"/>
      <c r="I18" s="4"/>
      <c r="J18" s="4"/>
      <c r="K18" s="4"/>
      <c r="L18" s="4"/>
      <c r="M18" s="4"/>
      <c r="N18" s="14" t="str">
        <f t="shared" si="10"/>
        <v>Rafael Mattos</v>
      </c>
      <c r="O18" s="10"/>
      <c r="P18" s="10">
        <v>1.0</v>
      </c>
      <c r="Q18" s="10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9">
        <v>10.0</v>
      </c>
      <c r="B19" s="4" t="s">
        <v>51</v>
      </c>
      <c r="C19" s="26">
        <f t="shared" si="5"/>
        <v>165.4177083</v>
      </c>
      <c r="D19" s="4" t="s">
        <v>121</v>
      </c>
      <c r="E19" s="24">
        <f t="shared" si="6"/>
        <v>1</v>
      </c>
      <c r="F19" s="24">
        <f t="shared" si="7"/>
        <v>3</v>
      </c>
      <c r="G19" s="24">
        <f t="shared" si="8"/>
        <v>1</v>
      </c>
      <c r="H19" s="4"/>
      <c r="I19" s="4"/>
      <c r="J19" s="4"/>
      <c r="K19" s="4"/>
      <c r="L19" s="4"/>
      <c r="M19" s="4"/>
      <c r="N19" s="14" t="str">
        <f>B20</f>
        <v>Roberto Machado</v>
      </c>
      <c r="O19" s="10"/>
      <c r="P19" s="10"/>
      <c r="Q19" s="10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9">
        <v>11.0</v>
      </c>
      <c r="B20" s="4" t="s">
        <v>59</v>
      </c>
      <c r="C20" s="26">
        <f t="shared" si="5"/>
        <v>165.4177083</v>
      </c>
      <c r="D20" s="4" t="s">
        <v>121</v>
      </c>
      <c r="E20" s="24">
        <f t="shared" si="6"/>
        <v>0</v>
      </c>
      <c r="F20" s="24">
        <f t="shared" si="7"/>
        <v>0</v>
      </c>
      <c r="G20" s="24">
        <f t="shared" si="8"/>
        <v>1</v>
      </c>
      <c r="H20" s="4"/>
      <c r="I20" s="4"/>
      <c r="J20" s="4"/>
      <c r="K20" s="4"/>
      <c r="L20" s="4"/>
      <c r="M20" s="4"/>
      <c r="N20" s="28" t="str">
        <f t="shared" ref="N20:N22" si="11">B24</f>
        <v>Amaral</v>
      </c>
      <c r="O20" s="10"/>
      <c r="P20" s="10">
        <v>1.0</v>
      </c>
      <c r="Q20" s="10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9">
        <v>12.0</v>
      </c>
      <c r="B21" s="4" t="s">
        <v>63</v>
      </c>
      <c r="C21" s="26">
        <f t="shared" si="5"/>
        <v>165.4177083</v>
      </c>
      <c r="D21" s="4" t="s">
        <v>121</v>
      </c>
      <c r="E21" s="24">
        <f t="shared" si="6"/>
        <v>7</v>
      </c>
      <c r="F21" s="24">
        <f t="shared" si="7"/>
        <v>0</v>
      </c>
      <c r="G21" s="24">
        <f t="shared" si="8"/>
        <v>0</v>
      </c>
      <c r="H21" s="4"/>
      <c r="I21" s="14"/>
      <c r="J21" s="14"/>
      <c r="K21" s="14"/>
      <c r="L21" s="14"/>
      <c r="M21" s="14"/>
      <c r="N21" s="28" t="str">
        <f t="shared" si="11"/>
        <v>Cleiton Castro</v>
      </c>
      <c r="O21" s="10"/>
      <c r="P21" s="10"/>
      <c r="Q21" s="16"/>
      <c r="R21" s="4"/>
      <c r="AC21" s="4"/>
    </row>
    <row r="22">
      <c r="B22" s="9" t="s">
        <v>127</v>
      </c>
      <c r="C22" s="4"/>
      <c r="D22" s="4"/>
      <c r="I22" s="14"/>
      <c r="J22" s="14"/>
      <c r="K22" s="14"/>
      <c r="L22" s="14"/>
      <c r="M22" s="14"/>
      <c r="N22" s="28" t="str">
        <f t="shared" si="11"/>
        <v>Darley</v>
      </c>
      <c r="O22" s="10"/>
      <c r="P22" s="10"/>
      <c r="Q22" s="16"/>
    </row>
    <row r="23">
      <c r="B23" s="5" t="s">
        <v>128</v>
      </c>
      <c r="E23" s="24">
        <f t="shared" ref="E23:E29" si="12">sumif($N:$N,B23,$O:$O)</f>
        <v>0</v>
      </c>
      <c r="F23" s="24">
        <f t="shared" ref="F23:F29" si="13">sumif($N:$N,B23,$P:$P)</f>
        <v>0</v>
      </c>
      <c r="G23" s="24">
        <f t="shared" ref="G23:G29" si="14">sumif($N:$N,B23,$Q:$Q)</f>
        <v>0</v>
      </c>
      <c r="I23" s="11"/>
      <c r="J23" s="11"/>
      <c r="K23" s="11"/>
      <c r="L23" s="11"/>
      <c r="M23" s="11"/>
      <c r="N23" s="11"/>
      <c r="O23" s="11"/>
      <c r="P23" s="11"/>
      <c r="Q23" s="11"/>
    </row>
    <row r="24">
      <c r="B24" s="5" t="s">
        <v>129</v>
      </c>
      <c r="E24" s="24">
        <f t="shared" si="12"/>
        <v>0</v>
      </c>
      <c r="F24" s="24">
        <f t="shared" si="13"/>
        <v>1</v>
      </c>
      <c r="G24" s="24">
        <f t="shared" si="14"/>
        <v>0</v>
      </c>
      <c r="I24" s="4" t="s">
        <v>130</v>
      </c>
      <c r="J24" s="13"/>
      <c r="K24" s="14"/>
      <c r="L24" s="14"/>
      <c r="N24" s="28"/>
      <c r="O24" s="4" t="s">
        <v>87</v>
      </c>
      <c r="P24" s="4" t="s">
        <v>88</v>
      </c>
      <c r="Q24" s="4" t="s">
        <v>89</v>
      </c>
    </row>
    <row r="25">
      <c r="B25" s="5" t="s">
        <v>11</v>
      </c>
      <c r="E25" s="24">
        <f t="shared" si="12"/>
        <v>4</v>
      </c>
      <c r="F25" s="24">
        <f t="shared" si="13"/>
        <v>1</v>
      </c>
      <c r="G25" s="24">
        <f t="shared" si="14"/>
        <v>0</v>
      </c>
      <c r="I25" s="4" t="s">
        <v>131</v>
      </c>
      <c r="J25" s="14"/>
      <c r="K25" s="14"/>
      <c r="L25" s="14"/>
      <c r="N25" s="28" t="str">
        <f t="shared" ref="N25:N28" si="15">B11</f>
        <v>Caio Scofield</v>
      </c>
    </row>
    <row r="26">
      <c r="B26" s="5" t="s">
        <v>132</v>
      </c>
      <c r="E26" s="24">
        <f t="shared" si="12"/>
        <v>0</v>
      </c>
      <c r="F26" s="24">
        <f t="shared" si="13"/>
        <v>0</v>
      </c>
      <c r="G26" s="24">
        <f t="shared" si="14"/>
        <v>0</v>
      </c>
      <c r="I26" s="4" t="s">
        <v>133</v>
      </c>
      <c r="J26" s="4">
        <v>8.0</v>
      </c>
      <c r="K26" s="4">
        <v>6.0</v>
      </c>
      <c r="L26" s="4" t="s">
        <v>105</v>
      </c>
      <c r="N26" s="28" t="str">
        <f t="shared" si="15"/>
        <v>Daniel Tedesco</v>
      </c>
    </row>
    <row r="27">
      <c r="B27" s="5" t="s">
        <v>23</v>
      </c>
      <c r="E27" s="24">
        <f t="shared" si="12"/>
        <v>0</v>
      </c>
      <c r="F27" s="24">
        <f t="shared" si="13"/>
        <v>0</v>
      </c>
      <c r="G27" s="24">
        <f t="shared" si="14"/>
        <v>0</v>
      </c>
      <c r="I27" s="14"/>
      <c r="J27" s="14"/>
      <c r="K27" s="14"/>
      <c r="L27" s="14"/>
      <c r="M27" s="14"/>
      <c r="N27" s="28" t="str">
        <f t="shared" si="15"/>
        <v>Guilherme Kuster</v>
      </c>
      <c r="O27" s="5">
        <v>4.0</v>
      </c>
      <c r="P27" s="14"/>
      <c r="Q27" s="4">
        <v>1.0</v>
      </c>
    </row>
    <row r="28">
      <c r="B28" s="5" t="s">
        <v>40</v>
      </c>
      <c r="E28" s="24">
        <f t="shared" si="12"/>
        <v>1</v>
      </c>
      <c r="F28" s="24">
        <f t="shared" si="13"/>
        <v>1</v>
      </c>
      <c r="G28" s="24">
        <f t="shared" si="14"/>
        <v>0</v>
      </c>
      <c r="I28" s="4"/>
      <c r="N28" s="28" t="str">
        <f t="shared" si="15"/>
        <v>Joao Barros</v>
      </c>
      <c r="O28" s="4"/>
      <c r="P28" s="4"/>
      <c r="Q28" s="4">
        <v>1.0</v>
      </c>
    </row>
    <row r="29">
      <c r="B29" s="5" t="s">
        <v>134</v>
      </c>
      <c r="E29" s="24">
        <f t="shared" si="12"/>
        <v>1</v>
      </c>
      <c r="F29" s="24">
        <f t="shared" si="13"/>
        <v>0</v>
      </c>
      <c r="G29" s="24">
        <f t="shared" si="14"/>
        <v>0</v>
      </c>
      <c r="I29" s="4"/>
      <c r="J29" s="4"/>
      <c r="K29" s="4"/>
      <c r="L29" s="4"/>
      <c r="N29" s="24" t="str">
        <f t="shared" ref="N29:N33" si="16">B16</f>
        <v>Pablo Rodrigues</v>
      </c>
    </row>
    <row r="30">
      <c r="I30" s="4"/>
      <c r="J30" s="4"/>
      <c r="K30" s="4"/>
      <c r="L30" s="4"/>
      <c r="N30" s="24" t="str">
        <f t="shared" si="16"/>
        <v>Rafael Franco</v>
      </c>
      <c r="O30" s="5">
        <v>1.0</v>
      </c>
    </row>
    <row r="31">
      <c r="N31" s="24" t="str">
        <f t="shared" si="16"/>
        <v>Rafael Mattos</v>
      </c>
      <c r="P31" s="5">
        <v>1.0</v>
      </c>
    </row>
    <row r="32">
      <c r="N32" s="24" t="str">
        <f t="shared" si="16"/>
        <v>Ranieri Filho</v>
      </c>
      <c r="O32" s="4"/>
      <c r="P32" s="4"/>
      <c r="Q32" s="4"/>
    </row>
    <row r="33">
      <c r="I33" s="4"/>
      <c r="N33" s="24" t="str">
        <f t="shared" si="16"/>
        <v>Roberto Machado</v>
      </c>
      <c r="Q33" s="5">
        <v>1.0</v>
      </c>
    </row>
    <row r="34">
      <c r="I34" s="11"/>
      <c r="J34" s="11"/>
      <c r="K34" s="11"/>
      <c r="L34" s="11"/>
      <c r="M34" s="11"/>
      <c r="N34" s="11"/>
      <c r="O34" s="11"/>
      <c r="P34" s="11"/>
      <c r="Q34" s="11"/>
    </row>
    <row r="35">
      <c r="I35" s="4" t="s">
        <v>135</v>
      </c>
      <c r="O35" s="4" t="s">
        <v>87</v>
      </c>
      <c r="P35" s="4" t="s">
        <v>88</v>
      </c>
      <c r="Q35" s="4" t="s">
        <v>89</v>
      </c>
    </row>
    <row r="36">
      <c r="I36" s="4" t="s">
        <v>136</v>
      </c>
      <c r="J36" s="14"/>
      <c r="K36" s="14"/>
      <c r="L36" s="14"/>
      <c r="N36" s="24" t="str">
        <f t="shared" ref="N36:N37" si="17">B12</f>
        <v>Daniel Tedesco</v>
      </c>
      <c r="P36" s="5">
        <v>2.0</v>
      </c>
    </row>
    <row r="37">
      <c r="I37" s="4" t="s">
        <v>137</v>
      </c>
      <c r="J37" s="4">
        <v>4.0</v>
      </c>
      <c r="K37" s="4">
        <v>3.0</v>
      </c>
      <c r="L37" s="4" t="s">
        <v>105</v>
      </c>
      <c r="N37" s="24" t="str">
        <f t="shared" si="17"/>
        <v>Guilherme Kuster</v>
      </c>
    </row>
    <row r="38">
      <c r="I38" s="14"/>
      <c r="J38" s="14"/>
      <c r="K38" s="14"/>
      <c r="L38" s="14"/>
      <c r="M38" s="14"/>
      <c r="N38" s="14" t="str">
        <f t="shared" ref="N38:N41" si="18">B16</f>
        <v>Pablo Rodrigues</v>
      </c>
      <c r="O38" s="14"/>
      <c r="P38" s="14"/>
      <c r="Q38" s="14"/>
    </row>
    <row r="39">
      <c r="N39" s="14" t="str">
        <f t="shared" si="18"/>
        <v>Rafael Franco</v>
      </c>
      <c r="O39" s="5">
        <v>1.0</v>
      </c>
      <c r="P39" s="4"/>
      <c r="Q39" s="4"/>
    </row>
    <row r="40">
      <c r="I40" s="4"/>
      <c r="N40" s="14" t="str">
        <f t="shared" si="18"/>
        <v>Rafael Mattos</v>
      </c>
    </row>
    <row r="41">
      <c r="L41" s="4"/>
      <c r="N41" s="14" t="str">
        <f t="shared" si="18"/>
        <v>Ranieri Filho</v>
      </c>
    </row>
    <row r="42">
      <c r="N42" s="14" t="str">
        <f>B25</f>
        <v>Cleiton Castro</v>
      </c>
      <c r="O42" s="5">
        <v>1.0</v>
      </c>
    </row>
    <row r="43">
      <c r="N43" s="24" t="str">
        <f>B28</f>
        <v>Matheus Cachoeira</v>
      </c>
      <c r="O43" s="5">
        <v>1.0</v>
      </c>
      <c r="P43" s="4"/>
      <c r="Q43" s="4"/>
    </row>
    <row r="44">
      <c r="I44" s="11"/>
      <c r="J44" s="11"/>
      <c r="K44" s="11"/>
      <c r="L44" s="11"/>
      <c r="M44" s="11"/>
      <c r="N44" s="11"/>
      <c r="O44" s="11"/>
      <c r="P44" s="11"/>
      <c r="Q44" s="11"/>
    </row>
    <row r="45">
      <c r="I45" s="4" t="s">
        <v>138</v>
      </c>
      <c r="O45" s="4" t="s">
        <v>87</v>
      </c>
      <c r="P45" s="4" t="s">
        <v>88</v>
      </c>
      <c r="Q45" s="4" t="s">
        <v>89</v>
      </c>
    </row>
    <row r="46">
      <c r="I46" s="4" t="s">
        <v>139</v>
      </c>
      <c r="J46" s="14"/>
      <c r="K46" s="14"/>
      <c r="L46" s="14"/>
      <c r="M46" s="14"/>
      <c r="N46" s="24" t="str">
        <f t="shared" ref="N46:N49" si="19">B11</f>
        <v>Caio Scofield</v>
      </c>
      <c r="O46" s="14"/>
      <c r="P46" s="14"/>
      <c r="Q46" s="14"/>
    </row>
    <row r="47">
      <c r="I47" s="5" t="s">
        <v>105</v>
      </c>
      <c r="J47" s="5">
        <v>7.0</v>
      </c>
      <c r="K47" s="5">
        <v>7.0</v>
      </c>
      <c r="L47" s="5" t="s">
        <v>140</v>
      </c>
      <c r="N47" s="24" t="str">
        <f t="shared" si="19"/>
        <v>Daniel Tedesco</v>
      </c>
      <c r="O47" s="5">
        <v>1.0</v>
      </c>
    </row>
    <row r="48">
      <c r="N48" s="24" t="str">
        <f t="shared" si="19"/>
        <v>Guilherme Kuster</v>
      </c>
      <c r="O48" s="5">
        <v>1.0</v>
      </c>
    </row>
    <row r="49">
      <c r="N49" s="24" t="str">
        <f t="shared" si="19"/>
        <v>Joao Barros</v>
      </c>
      <c r="O49" s="5"/>
    </row>
    <row r="50">
      <c r="I50" s="14"/>
      <c r="J50" s="14"/>
      <c r="K50" s="14"/>
      <c r="L50" s="14"/>
      <c r="M50" s="14"/>
      <c r="N50" s="14" t="str">
        <f t="shared" ref="N50:N51" si="20">B16</f>
        <v>Pablo Rodrigues</v>
      </c>
      <c r="O50" s="5">
        <v>2.0</v>
      </c>
      <c r="P50" s="14"/>
      <c r="Q50" s="14"/>
    </row>
    <row r="51">
      <c r="N51" s="14" t="str">
        <f t="shared" si="20"/>
        <v>Rafael Franco</v>
      </c>
      <c r="O51" s="5">
        <v>3.0</v>
      </c>
      <c r="P51" s="4"/>
      <c r="Q51" s="4"/>
    </row>
    <row r="52">
      <c r="I52" s="4"/>
      <c r="N52" s="24" t="str">
        <f>B20</f>
        <v>Roberto Machado</v>
      </c>
    </row>
    <row r="53">
      <c r="I53" s="4"/>
      <c r="L53" s="4"/>
      <c r="N53" s="24" t="str">
        <f>B25</f>
        <v>Cleiton Castro</v>
      </c>
    </row>
    <row r="54">
      <c r="I54" s="11"/>
      <c r="J54" s="11"/>
      <c r="K54" s="11"/>
      <c r="L54" s="11"/>
      <c r="M54" s="11"/>
      <c r="N54" s="11"/>
      <c r="O54" s="11"/>
      <c r="P54" s="11"/>
      <c r="Q54" s="11"/>
    </row>
    <row r="55">
      <c r="I55" s="5" t="s">
        <v>141</v>
      </c>
      <c r="O55" s="4" t="s">
        <v>87</v>
      </c>
      <c r="P55" s="4" t="s">
        <v>88</v>
      </c>
      <c r="Q55" s="4" t="s">
        <v>89</v>
      </c>
    </row>
    <row r="56">
      <c r="I56" s="4" t="s">
        <v>139</v>
      </c>
      <c r="N56" s="24" t="str">
        <f t="shared" ref="N56:N59" si="21">B11</f>
        <v>Caio Scofield</v>
      </c>
    </row>
    <row r="57">
      <c r="I57" s="5" t="s">
        <v>126</v>
      </c>
      <c r="J57" s="5">
        <v>5.0</v>
      </c>
      <c r="K57" s="5">
        <v>6.0</v>
      </c>
      <c r="L57" s="5" t="s">
        <v>105</v>
      </c>
      <c r="N57" s="24" t="str">
        <f t="shared" si="21"/>
        <v>Daniel Tedesco</v>
      </c>
      <c r="O57" s="5">
        <v>2.0</v>
      </c>
    </row>
    <row r="58">
      <c r="N58" s="24" t="str">
        <f t="shared" si="21"/>
        <v>Guilherme Kuster</v>
      </c>
      <c r="O58" s="5">
        <v>3.0</v>
      </c>
      <c r="Q58" s="4"/>
    </row>
    <row r="59">
      <c r="I59" s="4"/>
      <c r="N59" s="24" t="str">
        <f t="shared" si="21"/>
        <v>Joao Barros</v>
      </c>
      <c r="O59" s="5"/>
    </row>
    <row r="60">
      <c r="I60" s="14"/>
      <c r="J60" s="14"/>
      <c r="K60" s="14"/>
      <c r="L60" s="14"/>
      <c r="M60" s="14"/>
      <c r="N60" s="14" t="str">
        <f>B16</f>
        <v>Pablo Rodrigues</v>
      </c>
      <c r="O60" s="5">
        <v>1.0</v>
      </c>
      <c r="P60" s="14"/>
      <c r="Q60" s="14"/>
    </row>
    <row r="61">
      <c r="N61" s="4" t="str">
        <f t="shared" ref="N61:N63" si="22">B18</f>
        <v>Rafael Mattos</v>
      </c>
      <c r="O61" s="4"/>
      <c r="P61" s="4"/>
      <c r="Q61" s="4"/>
    </row>
    <row r="62">
      <c r="I62" s="4"/>
      <c r="N62" s="4" t="str">
        <f t="shared" si="22"/>
        <v>Ranieri Filho</v>
      </c>
      <c r="P62" s="5">
        <v>3.0</v>
      </c>
      <c r="Q62" s="5">
        <v>1.0</v>
      </c>
    </row>
    <row r="63">
      <c r="I63" s="4"/>
      <c r="L63" s="4"/>
      <c r="N63" s="4" t="str">
        <f t="shared" si="22"/>
        <v>Roberto Machado</v>
      </c>
    </row>
    <row r="64">
      <c r="I64" s="11"/>
      <c r="J64" s="11"/>
      <c r="K64" s="11"/>
      <c r="L64" s="11"/>
      <c r="M64" s="11"/>
      <c r="N64" s="11"/>
      <c r="O64" s="11"/>
      <c r="P64" s="11"/>
      <c r="Q64" s="11"/>
    </row>
    <row r="65">
      <c r="I65" s="5" t="s">
        <v>142</v>
      </c>
      <c r="O65" s="4" t="s">
        <v>87</v>
      </c>
      <c r="P65" s="4" t="s">
        <v>88</v>
      </c>
      <c r="Q65" s="4" t="s">
        <v>89</v>
      </c>
    </row>
    <row r="66">
      <c r="I66" s="4" t="s">
        <v>136</v>
      </c>
      <c r="N66" s="24" t="str">
        <f t="shared" ref="N66:N67" si="23">B10</f>
        <v>Arthur Mendes</v>
      </c>
      <c r="O66" s="5">
        <v>2.0</v>
      </c>
    </row>
    <row r="67">
      <c r="I67" s="5" t="s">
        <v>133</v>
      </c>
      <c r="J67" s="5">
        <v>3.0</v>
      </c>
      <c r="K67" s="5">
        <v>5.0</v>
      </c>
      <c r="L67" s="5" t="s">
        <v>105</v>
      </c>
      <c r="N67" s="24" t="str">
        <f t="shared" si="23"/>
        <v>Caio Scofield</v>
      </c>
    </row>
    <row r="68">
      <c r="N68" s="24" t="str">
        <f t="shared" ref="N68:N72" si="24">B13</f>
        <v>Guilherme Kuster</v>
      </c>
      <c r="O68" s="5">
        <v>1.0</v>
      </c>
      <c r="P68" s="5">
        <v>1.0</v>
      </c>
    </row>
    <row r="69">
      <c r="N69" s="24" t="str">
        <f t="shared" si="24"/>
        <v>Joao Barros</v>
      </c>
    </row>
    <row r="70">
      <c r="N70" s="24" t="str">
        <f t="shared" si="24"/>
        <v>Joao Pinto</v>
      </c>
    </row>
    <row r="71">
      <c r="N71" s="24" t="str">
        <f t="shared" si="24"/>
        <v>Pablo Rodrigues</v>
      </c>
      <c r="O71" s="5">
        <v>1.0</v>
      </c>
    </row>
    <row r="72">
      <c r="I72" s="14"/>
      <c r="J72" s="14"/>
      <c r="K72" s="14"/>
      <c r="L72" s="14"/>
      <c r="M72" s="14"/>
      <c r="N72" s="24" t="str">
        <f t="shared" si="24"/>
        <v>Rafael Franco</v>
      </c>
      <c r="O72" s="14"/>
      <c r="P72" s="14"/>
      <c r="Q72" s="14"/>
    </row>
    <row r="73">
      <c r="N73" s="24" t="str">
        <f t="shared" ref="N73:N74" si="25">B19</f>
        <v>Ranieri Filho</v>
      </c>
      <c r="O73" s="5">
        <v>1.0</v>
      </c>
      <c r="P73" s="4"/>
      <c r="Q73" s="4"/>
    </row>
    <row r="74">
      <c r="I74" s="4"/>
      <c r="N74" s="24" t="str">
        <f t="shared" si="25"/>
        <v>Roberto Machado</v>
      </c>
    </row>
    <row r="75">
      <c r="I75" s="4"/>
      <c r="N75" s="24" t="str">
        <f>B25</f>
        <v>Cleiton Castro</v>
      </c>
    </row>
    <row r="76">
      <c r="N76" s="24" t="str">
        <f>B28</f>
        <v>Matheus Cachoeira</v>
      </c>
    </row>
    <row r="77">
      <c r="I77" s="11"/>
      <c r="J77" s="11"/>
      <c r="K77" s="11"/>
      <c r="L77" s="11"/>
      <c r="M77" s="11"/>
      <c r="N77" s="11"/>
      <c r="O77" s="11"/>
      <c r="P77" s="11"/>
      <c r="Q77" s="11"/>
    </row>
    <row r="78">
      <c r="I78" s="5" t="s">
        <v>143</v>
      </c>
      <c r="O78" s="4" t="s">
        <v>87</v>
      </c>
      <c r="P78" s="4" t="s">
        <v>88</v>
      </c>
      <c r="Q78" s="4" t="s">
        <v>89</v>
      </c>
    </row>
    <row r="79">
      <c r="I79" s="5" t="s">
        <v>102</v>
      </c>
      <c r="N79" s="24" t="str">
        <f>B10</f>
        <v>Arthur Mendes</v>
      </c>
      <c r="O79" s="5">
        <v>1.0</v>
      </c>
      <c r="P79" s="5">
        <v>1.0</v>
      </c>
    </row>
    <row r="80">
      <c r="I80" s="5" t="s">
        <v>105</v>
      </c>
      <c r="J80" s="5">
        <v>8.0</v>
      </c>
      <c r="K80" s="5">
        <v>5.0</v>
      </c>
      <c r="L80" s="5" t="s">
        <v>144</v>
      </c>
      <c r="N80" s="24" t="str">
        <f t="shared" ref="N80:N81" si="26">B12</f>
        <v>Daniel Tedesco</v>
      </c>
    </row>
    <row r="81">
      <c r="N81" s="24" t="str">
        <f t="shared" si="26"/>
        <v>Guilherme Kuster</v>
      </c>
      <c r="O81" s="5">
        <v>5.0</v>
      </c>
    </row>
    <row r="82">
      <c r="I82" s="14"/>
      <c r="J82" s="14"/>
      <c r="K82" s="14"/>
      <c r="L82" s="14"/>
      <c r="M82" s="14"/>
      <c r="N82" s="14" t="str">
        <f>B17</f>
        <v>Rafael Franco</v>
      </c>
      <c r="O82" s="14"/>
      <c r="P82" s="5">
        <v>1.0</v>
      </c>
      <c r="Q82" s="14"/>
    </row>
    <row r="83">
      <c r="N83" s="24" t="str">
        <f>B23</f>
        <v>Aleme</v>
      </c>
      <c r="O83" s="4"/>
      <c r="P83" s="4"/>
      <c r="Q83" s="4"/>
    </row>
    <row r="84">
      <c r="I84" s="4"/>
      <c r="N84" s="24" t="str">
        <f>B25</f>
        <v>Cleiton Castro</v>
      </c>
      <c r="O84" s="5">
        <v>1.0</v>
      </c>
      <c r="P84" s="5">
        <v>1.0</v>
      </c>
    </row>
    <row r="85">
      <c r="I85" s="4"/>
      <c r="N85" s="24" t="str">
        <f>B29</f>
        <v>Nunes</v>
      </c>
      <c r="O85" s="5">
        <v>1.0</v>
      </c>
    </row>
    <row r="86">
      <c r="I86" s="11"/>
      <c r="J86" s="11"/>
      <c r="K86" s="11"/>
      <c r="L86" s="11"/>
      <c r="M86" s="11"/>
      <c r="N86" s="11"/>
      <c r="O86" s="11"/>
      <c r="P86" s="11"/>
      <c r="Q86" s="11"/>
    </row>
    <row r="87">
      <c r="I87" s="5" t="s">
        <v>145</v>
      </c>
      <c r="O87" s="4" t="s">
        <v>87</v>
      </c>
      <c r="P87" s="4" t="s">
        <v>88</v>
      </c>
      <c r="Q87" s="4" t="s">
        <v>89</v>
      </c>
    </row>
    <row r="88">
      <c r="I88" s="5" t="s">
        <v>136</v>
      </c>
      <c r="N88" s="24" t="str">
        <f t="shared" ref="N88:N91" si="27">B10</f>
        <v>Arthur Mendes</v>
      </c>
      <c r="O88" s="5">
        <v>2.0</v>
      </c>
    </row>
    <row r="89">
      <c r="I89" s="5" t="s">
        <v>137</v>
      </c>
      <c r="J89" s="5">
        <v>10.0</v>
      </c>
      <c r="K89" s="5">
        <v>4.0</v>
      </c>
      <c r="L89" s="5" t="s">
        <v>105</v>
      </c>
      <c r="N89" s="24" t="str">
        <f t="shared" si="27"/>
        <v>Caio Scofield</v>
      </c>
      <c r="O89" s="5">
        <v>1.0</v>
      </c>
    </row>
    <row r="90">
      <c r="N90" s="24" t="str">
        <f t="shared" si="27"/>
        <v>Daniel Tedesco</v>
      </c>
    </row>
    <row r="91">
      <c r="N91" s="24" t="str">
        <f t="shared" si="27"/>
        <v>Guilherme Kuster</v>
      </c>
      <c r="O91" s="5">
        <v>1.0</v>
      </c>
    </row>
    <row r="92">
      <c r="I92" s="14"/>
      <c r="J92" s="14"/>
      <c r="K92" s="14"/>
      <c r="L92" s="14"/>
      <c r="M92" s="14"/>
      <c r="N92" s="24" t="str">
        <f t="shared" ref="N92:N93" si="28">B15</f>
        <v>Joao Pinto</v>
      </c>
      <c r="O92" s="14"/>
      <c r="P92" s="14"/>
      <c r="Q92" s="14"/>
    </row>
    <row r="93">
      <c r="N93" s="24" t="str">
        <f t="shared" si="28"/>
        <v>Pablo Rodrigues</v>
      </c>
      <c r="O93" s="4"/>
      <c r="P93" s="4"/>
      <c r="Q93" s="4"/>
    </row>
    <row r="94">
      <c r="I94" s="4"/>
      <c r="N94" s="24" t="str">
        <f t="shared" ref="N94:N95" si="29">B19</f>
        <v>Ranieri Filho</v>
      </c>
    </row>
    <row r="95">
      <c r="L95" s="4"/>
      <c r="N95" s="24" t="str">
        <f t="shared" si="29"/>
        <v>Roberto Machado</v>
      </c>
    </row>
    <row r="96">
      <c r="N96" s="24" t="str">
        <f>B28</f>
        <v>Matheus Cachoeira</v>
      </c>
      <c r="P96" s="5">
        <v>1.0</v>
      </c>
    </row>
    <row r="97">
      <c r="I97" s="11"/>
      <c r="J97" s="11"/>
      <c r="K97" s="11"/>
      <c r="L97" s="11"/>
      <c r="M97" s="11"/>
      <c r="N97" s="11"/>
      <c r="O97" s="11"/>
      <c r="P97" s="11"/>
      <c r="Q97" s="11"/>
    </row>
    <row r="98">
      <c r="I98" s="5" t="s">
        <v>146</v>
      </c>
      <c r="O98" s="4" t="s">
        <v>87</v>
      </c>
      <c r="P98" s="4" t="s">
        <v>88</v>
      </c>
      <c r="Q98" s="4" t="s">
        <v>89</v>
      </c>
    </row>
    <row r="99">
      <c r="I99" s="5" t="s">
        <v>131</v>
      </c>
      <c r="N99" s="24" t="str">
        <f t="shared" ref="N99:N106" si="30">B10</f>
        <v>Arthur Mendes</v>
      </c>
      <c r="O99" s="5">
        <v>2.0</v>
      </c>
      <c r="P99" s="5">
        <v>1.0</v>
      </c>
    </row>
    <row r="100">
      <c r="I100" s="5" t="s">
        <v>105</v>
      </c>
      <c r="J100" s="5">
        <v>5.0</v>
      </c>
      <c r="K100" s="5">
        <v>6.0</v>
      </c>
      <c r="L100" s="5" t="s">
        <v>147</v>
      </c>
      <c r="N100" s="24" t="str">
        <f t="shared" si="30"/>
        <v>Caio Scofield</v>
      </c>
    </row>
    <row r="101">
      <c r="N101" s="24" t="str">
        <f t="shared" si="30"/>
        <v>Daniel Tedesco</v>
      </c>
      <c r="P101" s="5">
        <v>1.0</v>
      </c>
    </row>
    <row r="102">
      <c r="N102" s="24" t="str">
        <f t="shared" si="30"/>
        <v>Guilherme Kuster</v>
      </c>
    </row>
    <row r="103">
      <c r="N103" s="24" t="str">
        <f t="shared" si="30"/>
        <v>Joao Barros</v>
      </c>
      <c r="P103" s="5">
        <v>1.0</v>
      </c>
    </row>
    <row r="104">
      <c r="I104" s="14"/>
      <c r="J104" s="14"/>
      <c r="K104" s="14"/>
      <c r="L104" s="14"/>
      <c r="M104" s="14"/>
      <c r="N104" s="24" t="str">
        <f t="shared" si="30"/>
        <v>Joao Pinto</v>
      </c>
      <c r="O104" s="14"/>
      <c r="P104" s="14"/>
      <c r="Q104" s="14"/>
    </row>
    <row r="105">
      <c r="N105" s="24" t="str">
        <f t="shared" si="30"/>
        <v>Pablo Rodrigues</v>
      </c>
      <c r="O105" s="5">
        <v>1.0</v>
      </c>
      <c r="P105" s="4"/>
      <c r="Q105" s="4"/>
    </row>
    <row r="106">
      <c r="I106" s="4"/>
      <c r="N106" s="24" t="str">
        <f t="shared" si="30"/>
        <v>Rafael Franco</v>
      </c>
      <c r="P106" s="5">
        <v>1.0</v>
      </c>
    </row>
    <row r="107">
      <c r="I107" s="4"/>
      <c r="N107" s="24" t="str">
        <f>B21</f>
        <v>Sergio Filho</v>
      </c>
      <c r="O107" s="5">
        <v>2.0</v>
      </c>
    </row>
    <row r="108">
      <c r="I108" s="11"/>
      <c r="J108" s="11"/>
      <c r="K108" s="11"/>
      <c r="L108" s="11"/>
      <c r="M108" s="11"/>
      <c r="N108" s="11"/>
      <c r="O108" s="11"/>
      <c r="P108" s="11"/>
      <c r="Q108" s="11"/>
    </row>
    <row r="109">
      <c r="I109" s="5" t="s">
        <v>148</v>
      </c>
      <c r="O109" s="4" t="s">
        <v>87</v>
      </c>
      <c r="P109" s="4" t="s">
        <v>88</v>
      </c>
      <c r="Q109" s="4" t="s">
        <v>89</v>
      </c>
    </row>
    <row r="110">
      <c r="I110" s="5" t="s">
        <v>139</v>
      </c>
      <c r="N110" s="24" t="str">
        <f t="shared" ref="N110:N113" si="31">B10</f>
        <v>Arthur Mendes</v>
      </c>
    </row>
    <row r="111">
      <c r="I111" s="5" t="s">
        <v>105</v>
      </c>
      <c r="J111" s="5">
        <v>8.0</v>
      </c>
      <c r="K111" s="5">
        <v>5.0</v>
      </c>
      <c r="L111" s="5" t="s">
        <v>106</v>
      </c>
      <c r="N111" s="24" t="str">
        <f t="shared" si="31"/>
        <v>Caio Scofield</v>
      </c>
    </row>
    <row r="112">
      <c r="N112" s="24" t="str">
        <f t="shared" si="31"/>
        <v>Daniel Tedesco</v>
      </c>
      <c r="O112" s="5">
        <v>1.0</v>
      </c>
    </row>
    <row r="113">
      <c r="N113" s="24" t="str">
        <f t="shared" si="31"/>
        <v>Guilherme Kuster</v>
      </c>
      <c r="O113" s="5">
        <v>3.0</v>
      </c>
    </row>
    <row r="114">
      <c r="I114" s="14"/>
      <c r="J114" s="14"/>
      <c r="K114" s="14"/>
      <c r="L114" s="14"/>
      <c r="M114" s="14"/>
      <c r="N114" s="14" t="str">
        <f>B21</f>
        <v>Sergio Filho</v>
      </c>
      <c r="O114" s="5">
        <v>3.0</v>
      </c>
      <c r="P114" s="14"/>
      <c r="Q114" s="14"/>
    </row>
    <row r="115">
      <c r="N115" s="24" t="str">
        <f>B25</f>
        <v>Cleiton Castro</v>
      </c>
      <c r="O115" s="5">
        <v>1.0</v>
      </c>
      <c r="P115" s="4"/>
      <c r="Q115" s="4"/>
    </row>
    <row r="116">
      <c r="I116" s="11"/>
      <c r="J116" s="11"/>
      <c r="K116" s="11"/>
      <c r="L116" s="11"/>
      <c r="M116" s="11"/>
      <c r="N116" s="11"/>
      <c r="O116" s="11"/>
      <c r="P116" s="11"/>
      <c r="Q116" s="11"/>
    </row>
    <row r="117">
      <c r="L117" s="4"/>
    </row>
    <row r="124">
      <c r="I124" s="14"/>
      <c r="J124" s="14"/>
      <c r="K124" s="14"/>
      <c r="L124" s="14"/>
      <c r="M124" s="14"/>
      <c r="N124" s="14"/>
      <c r="O124" s="14"/>
      <c r="P124" s="14"/>
      <c r="Q124" s="14"/>
    </row>
    <row r="125">
      <c r="O125" s="4"/>
      <c r="P125" s="4"/>
      <c r="Q125" s="4"/>
    </row>
    <row r="126">
      <c r="I126" s="4"/>
    </row>
    <row r="127">
      <c r="L127" s="4"/>
    </row>
    <row r="134">
      <c r="I134" s="14"/>
      <c r="J134" s="14"/>
      <c r="K134" s="14"/>
      <c r="L134" s="14"/>
      <c r="M134" s="14"/>
      <c r="N134" s="14"/>
      <c r="O134" s="14"/>
      <c r="P134" s="14"/>
      <c r="Q134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8.25"/>
    <col customWidth="1" min="3" max="4" width="15.13"/>
    <col customWidth="1" min="5" max="5" width="7.25"/>
    <col customWidth="1" min="6" max="6" width="15.13"/>
    <col customWidth="1" min="7" max="7" width="15.38"/>
    <col customWidth="1" min="8" max="8" width="18.75"/>
    <col customWidth="1" min="9" max="9" width="1.88"/>
    <col customWidth="1" min="10" max="10" width="2.75"/>
    <col customWidth="1" min="11" max="12" width="11.13"/>
    <col customWidth="1" min="13" max="13" width="14.25"/>
    <col customWidth="1" min="14" max="16" width="11.13"/>
  </cols>
  <sheetData>
    <row r="1">
      <c r="A1" s="9" t="s">
        <v>82</v>
      </c>
      <c r="B1" s="10" t="s">
        <v>149</v>
      </c>
      <c r="C1" s="10"/>
      <c r="D1" s="10"/>
      <c r="E1" s="10"/>
      <c r="F1" s="10"/>
      <c r="H1" s="11"/>
      <c r="I1" s="11"/>
      <c r="J1" s="11"/>
      <c r="K1" s="11"/>
      <c r="L1" s="11"/>
      <c r="M1" s="11"/>
      <c r="N1" s="11"/>
      <c r="O1" s="11"/>
      <c r="P1" s="11"/>
    </row>
    <row r="2">
      <c r="A2" s="9" t="s">
        <v>84</v>
      </c>
      <c r="B2" s="10" t="s">
        <v>150</v>
      </c>
      <c r="C2" s="12"/>
      <c r="D2" s="12"/>
      <c r="E2" s="12"/>
      <c r="F2" s="12"/>
      <c r="H2" s="29">
        <v>45526.0</v>
      </c>
      <c r="I2" s="13"/>
      <c r="J2" s="14"/>
      <c r="K2" s="14"/>
      <c r="L2" s="14"/>
      <c r="M2" s="4"/>
      <c r="N2" s="4" t="s">
        <v>87</v>
      </c>
      <c r="O2" s="4" t="s">
        <v>88</v>
      </c>
      <c r="P2" s="4" t="s">
        <v>89</v>
      </c>
    </row>
    <row r="3">
      <c r="A3" s="9" t="s">
        <v>100</v>
      </c>
      <c r="B3" s="10" t="s">
        <v>151</v>
      </c>
      <c r="C3" s="10"/>
      <c r="D3" s="10"/>
      <c r="E3" s="10"/>
      <c r="F3" s="10"/>
      <c r="H3" s="4"/>
      <c r="I3" s="14"/>
      <c r="J3" s="14"/>
      <c r="K3" s="14"/>
      <c r="L3" s="14"/>
      <c r="M3" s="4" t="s">
        <v>152</v>
      </c>
      <c r="N3" s="10">
        <v>2.0</v>
      </c>
      <c r="O3" s="10"/>
      <c r="P3" s="16"/>
    </row>
    <row r="4">
      <c r="A4" s="9" t="s">
        <v>104</v>
      </c>
      <c r="B4" s="5">
        <v>6.0</v>
      </c>
      <c r="H4" s="4" t="s">
        <v>153</v>
      </c>
      <c r="I4" s="4"/>
      <c r="J4" s="4"/>
      <c r="K4" s="4"/>
      <c r="L4" s="14"/>
      <c r="M4" s="4" t="s">
        <v>134</v>
      </c>
      <c r="N4" s="10">
        <v>1.0</v>
      </c>
      <c r="O4" s="16"/>
      <c r="P4" s="16"/>
    </row>
    <row r="5">
      <c r="A5" s="9" t="s">
        <v>108</v>
      </c>
      <c r="B5" s="20"/>
      <c r="H5" s="14"/>
      <c r="I5" s="14"/>
      <c r="J5" s="14"/>
      <c r="K5" s="14"/>
      <c r="L5" s="14"/>
      <c r="M5" s="4" t="s">
        <v>154</v>
      </c>
      <c r="N5" s="10">
        <v>1.0</v>
      </c>
      <c r="O5" s="16"/>
      <c r="P5" s="16"/>
    </row>
    <row r="6">
      <c r="A6" s="5" t="s">
        <v>155</v>
      </c>
      <c r="B6" s="24">
        <f>COUNTif(C10:C25,"YES")</f>
        <v>0</v>
      </c>
      <c r="H6" s="4" t="s">
        <v>156</v>
      </c>
      <c r="I6" s="14"/>
      <c r="J6" s="14"/>
      <c r="K6" s="14"/>
      <c r="L6" s="14"/>
      <c r="O6" s="16"/>
      <c r="P6" s="16"/>
    </row>
    <row r="7">
      <c r="A7" s="25"/>
      <c r="B7" s="9"/>
      <c r="C7" s="9"/>
      <c r="H7" s="14"/>
      <c r="I7" s="14"/>
      <c r="J7" s="14"/>
      <c r="K7" s="14"/>
      <c r="L7" s="14"/>
      <c r="M7" s="4"/>
      <c r="N7" s="16"/>
      <c r="O7" s="16"/>
      <c r="P7" s="16"/>
    </row>
    <row r="8">
      <c r="A8" s="25"/>
      <c r="B8" s="9" t="s">
        <v>114</v>
      </c>
      <c r="C8" s="9" t="s">
        <v>157</v>
      </c>
      <c r="E8" s="5" t="s">
        <v>87</v>
      </c>
      <c r="H8" s="14"/>
      <c r="I8" s="14"/>
      <c r="J8" s="14"/>
      <c r="K8" s="14"/>
      <c r="L8" s="14"/>
      <c r="M8" s="4"/>
      <c r="N8" s="10"/>
      <c r="O8" s="16"/>
      <c r="P8" s="16"/>
    </row>
    <row r="9">
      <c r="A9" s="25"/>
      <c r="B9" s="5"/>
      <c r="G9" s="9"/>
      <c r="H9" s="14"/>
      <c r="I9" s="14"/>
      <c r="J9" s="14"/>
      <c r="K9" s="14"/>
      <c r="L9" s="14"/>
      <c r="M9" s="4"/>
      <c r="N9" s="16"/>
      <c r="O9" s="10"/>
      <c r="P9" s="10"/>
    </row>
    <row r="10">
      <c r="A10" s="9">
        <v>1.0</v>
      </c>
      <c r="B10" s="4" t="s">
        <v>152</v>
      </c>
      <c r="C10" s="4" t="s">
        <v>158</v>
      </c>
      <c r="E10" s="24">
        <f t="shared" ref="E10:E24" si="1">SUMIF(M:M,B10,N:N)</f>
        <v>14</v>
      </c>
      <c r="H10" s="14"/>
      <c r="I10" s="14"/>
      <c r="J10" s="14"/>
      <c r="K10" s="14"/>
      <c r="L10" s="14"/>
      <c r="M10" s="4"/>
      <c r="N10" s="16"/>
      <c r="O10" s="10"/>
      <c r="P10" s="10"/>
    </row>
    <row r="11">
      <c r="A11" s="9">
        <v>2.0</v>
      </c>
      <c r="B11" s="4" t="s">
        <v>134</v>
      </c>
      <c r="C11" s="4" t="s">
        <v>158</v>
      </c>
      <c r="E11" s="24">
        <f t="shared" si="1"/>
        <v>5</v>
      </c>
      <c r="H11" s="30"/>
      <c r="I11" s="30"/>
      <c r="J11" s="30"/>
      <c r="K11" s="30"/>
      <c r="L11" s="30"/>
      <c r="M11" s="4"/>
      <c r="N11" s="10"/>
      <c r="O11" s="16"/>
      <c r="P11" s="16"/>
    </row>
    <row r="12">
      <c r="A12" s="9">
        <v>3.0</v>
      </c>
      <c r="B12" s="4" t="s">
        <v>154</v>
      </c>
      <c r="C12" s="4" t="s">
        <v>158</v>
      </c>
      <c r="E12" s="24">
        <f t="shared" si="1"/>
        <v>1</v>
      </c>
      <c r="H12" s="14"/>
      <c r="I12" s="29"/>
      <c r="J12" s="14"/>
      <c r="K12" s="14"/>
      <c r="L12" s="14"/>
      <c r="M12" s="4"/>
      <c r="N12" s="10"/>
      <c r="O12" s="16"/>
      <c r="P12" s="16"/>
    </row>
    <row r="13">
      <c r="A13" s="9">
        <v>4.0</v>
      </c>
      <c r="B13" s="4" t="s">
        <v>159</v>
      </c>
      <c r="C13" s="31" t="s">
        <v>160</v>
      </c>
      <c r="E13" s="24">
        <f t="shared" si="1"/>
        <v>10</v>
      </c>
      <c r="H13" s="4"/>
      <c r="I13" s="4"/>
      <c r="J13" s="4"/>
      <c r="K13" s="4"/>
      <c r="L13" s="4"/>
      <c r="M13" s="4"/>
      <c r="N13" s="10"/>
      <c r="O13" s="10"/>
      <c r="P13" s="10"/>
    </row>
    <row r="14">
      <c r="A14" s="9">
        <v>5.0</v>
      </c>
      <c r="B14" s="4" t="s">
        <v>161</v>
      </c>
      <c r="C14" s="31" t="s">
        <v>160</v>
      </c>
      <c r="E14" s="24">
        <f t="shared" si="1"/>
        <v>1</v>
      </c>
      <c r="H14" s="11"/>
      <c r="I14" s="11"/>
      <c r="J14" s="11"/>
      <c r="K14" s="11"/>
      <c r="L14" s="11"/>
      <c r="M14" s="11"/>
      <c r="N14" s="11"/>
      <c r="O14" s="11"/>
      <c r="P14" s="11"/>
    </row>
    <row r="15">
      <c r="A15" s="9">
        <v>6.0</v>
      </c>
      <c r="B15" s="5" t="s">
        <v>162</v>
      </c>
      <c r="C15" s="4" t="s">
        <v>158</v>
      </c>
      <c r="E15" s="24">
        <f t="shared" si="1"/>
        <v>3</v>
      </c>
      <c r="H15" s="29">
        <v>45533.0</v>
      </c>
      <c r="I15" s="4"/>
      <c r="J15" s="4"/>
      <c r="K15" s="4"/>
      <c r="L15" s="4"/>
      <c r="M15" s="14"/>
      <c r="N15" s="4" t="s">
        <v>87</v>
      </c>
      <c r="O15" s="4" t="s">
        <v>88</v>
      </c>
      <c r="P15" s="4" t="s">
        <v>89</v>
      </c>
    </row>
    <row r="16">
      <c r="A16" s="9">
        <v>7.0</v>
      </c>
      <c r="B16" s="5" t="s">
        <v>163</v>
      </c>
      <c r="C16" s="4" t="s">
        <v>158</v>
      </c>
      <c r="E16" s="24">
        <f t="shared" si="1"/>
        <v>2</v>
      </c>
      <c r="H16" s="4"/>
      <c r="I16" s="4"/>
      <c r="J16" s="4"/>
      <c r="K16" s="4"/>
      <c r="L16" s="4"/>
      <c r="M16" s="4" t="s">
        <v>152</v>
      </c>
      <c r="N16" s="10">
        <v>2.0</v>
      </c>
      <c r="O16" s="10"/>
      <c r="P16" s="10"/>
    </row>
    <row r="17">
      <c r="A17" s="32">
        <v>8.0</v>
      </c>
      <c r="B17" s="5" t="s">
        <v>164</v>
      </c>
      <c r="C17" s="31" t="s">
        <v>160</v>
      </c>
      <c r="E17" s="24">
        <f t="shared" si="1"/>
        <v>1</v>
      </c>
      <c r="H17" s="4" t="s">
        <v>165</v>
      </c>
      <c r="I17" s="4"/>
      <c r="J17" s="4"/>
      <c r="K17" s="4"/>
      <c r="L17" s="4"/>
      <c r="M17" s="4" t="s">
        <v>134</v>
      </c>
      <c r="N17" s="10">
        <v>1.0</v>
      </c>
      <c r="O17" s="10"/>
      <c r="P17" s="10"/>
    </row>
    <row r="18">
      <c r="A18" s="9">
        <v>9.0</v>
      </c>
      <c r="B18" s="5" t="s">
        <v>129</v>
      </c>
      <c r="C18" s="31" t="s">
        <v>160</v>
      </c>
      <c r="E18" s="24">
        <f t="shared" si="1"/>
        <v>2</v>
      </c>
      <c r="H18" s="4" t="s">
        <v>166</v>
      </c>
      <c r="I18" s="4"/>
      <c r="J18" s="4"/>
      <c r="K18" s="4"/>
      <c r="L18" s="4"/>
      <c r="M18" s="4" t="s">
        <v>154</v>
      </c>
      <c r="N18" s="10"/>
      <c r="O18" s="10"/>
      <c r="P18" s="10"/>
    </row>
    <row r="19">
      <c r="A19" s="9">
        <v>10.0</v>
      </c>
      <c r="B19" s="5" t="s">
        <v>167</v>
      </c>
      <c r="C19" s="4" t="s">
        <v>158</v>
      </c>
      <c r="E19" s="24">
        <f t="shared" si="1"/>
        <v>1</v>
      </c>
      <c r="H19" s="4"/>
      <c r="I19" s="4"/>
      <c r="J19" s="4"/>
      <c r="K19" s="4"/>
      <c r="L19" s="4"/>
      <c r="M19" s="4" t="s">
        <v>159</v>
      </c>
      <c r="N19" s="10">
        <v>2.0</v>
      </c>
      <c r="O19" s="10"/>
      <c r="P19" s="10"/>
    </row>
    <row r="20">
      <c r="A20" s="9">
        <v>11.0</v>
      </c>
      <c r="B20" s="5" t="s">
        <v>168</v>
      </c>
      <c r="C20" s="4" t="s">
        <v>158</v>
      </c>
      <c r="E20" s="24">
        <f t="shared" si="1"/>
        <v>1</v>
      </c>
      <c r="H20" s="4"/>
      <c r="I20" s="4"/>
      <c r="J20" s="4"/>
      <c r="K20" s="4"/>
      <c r="L20" s="4"/>
      <c r="M20" s="4" t="s">
        <v>161</v>
      </c>
      <c r="N20" s="10">
        <v>1.0</v>
      </c>
      <c r="O20" s="10"/>
      <c r="P20" s="10"/>
    </row>
    <row r="21">
      <c r="A21" s="9">
        <v>12.0</v>
      </c>
      <c r="B21" s="5" t="s">
        <v>169</v>
      </c>
      <c r="C21" s="4" t="s">
        <v>158</v>
      </c>
      <c r="E21" s="24">
        <f t="shared" si="1"/>
        <v>0</v>
      </c>
      <c r="H21" s="14"/>
      <c r="I21" s="14"/>
      <c r="J21" s="14"/>
      <c r="K21" s="14"/>
      <c r="L21" s="14"/>
      <c r="M21" s="4"/>
      <c r="N21" s="16"/>
      <c r="O21" s="10"/>
      <c r="P21" s="16"/>
    </row>
    <row r="22">
      <c r="A22" s="9">
        <v>13.0</v>
      </c>
      <c r="B22" s="5" t="s">
        <v>170</v>
      </c>
      <c r="C22" s="4" t="s">
        <v>158</v>
      </c>
      <c r="E22" s="24">
        <f t="shared" si="1"/>
        <v>0</v>
      </c>
      <c r="H22" s="14"/>
      <c r="I22" s="14"/>
      <c r="J22" s="14"/>
      <c r="K22" s="14"/>
      <c r="L22" s="14"/>
      <c r="M22" s="4"/>
      <c r="N22" s="10"/>
      <c r="O22" s="10"/>
      <c r="P22" s="16"/>
    </row>
    <row r="23">
      <c r="A23" s="9">
        <v>14.0</v>
      </c>
      <c r="B23" s="5" t="s">
        <v>132</v>
      </c>
      <c r="C23" s="4" t="s">
        <v>158</v>
      </c>
      <c r="E23" s="24">
        <f t="shared" si="1"/>
        <v>0</v>
      </c>
      <c r="M23" s="4"/>
    </row>
    <row r="24">
      <c r="A24" s="5">
        <v>15.0</v>
      </c>
      <c r="B24" s="5" t="s">
        <v>171</v>
      </c>
      <c r="C24" s="5" t="s">
        <v>160</v>
      </c>
      <c r="E24" s="24">
        <f t="shared" si="1"/>
        <v>2</v>
      </c>
      <c r="M24" s="4"/>
      <c r="N24" s="4"/>
      <c r="O24" s="4"/>
      <c r="P24" s="4"/>
    </row>
    <row r="25">
      <c r="E25" s="24">
        <f>SUM(E10:E24)</f>
        <v>43</v>
      </c>
      <c r="H25" s="4"/>
      <c r="M25" s="4"/>
    </row>
    <row r="26">
      <c r="B26" s="33"/>
      <c r="H26" s="11"/>
      <c r="I26" s="11"/>
      <c r="J26" s="11"/>
      <c r="K26" s="11"/>
      <c r="L26" s="11"/>
      <c r="M26" s="11"/>
      <c r="N26" s="11"/>
      <c r="O26" s="11"/>
      <c r="P26" s="11"/>
    </row>
    <row r="27">
      <c r="B27" s="33"/>
      <c r="H27" s="34">
        <v>45540.0</v>
      </c>
      <c r="M27" s="4"/>
      <c r="N27" s="4" t="s">
        <v>87</v>
      </c>
      <c r="O27" s="4" t="s">
        <v>88</v>
      </c>
      <c r="P27" s="4" t="s">
        <v>89</v>
      </c>
    </row>
    <row r="28">
      <c r="B28" s="35"/>
      <c r="H28" s="4" t="s">
        <v>172</v>
      </c>
      <c r="M28" s="4" t="s">
        <v>152</v>
      </c>
      <c r="N28" s="5">
        <v>1.0</v>
      </c>
    </row>
    <row r="29">
      <c r="B29" s="33"/>
      <c r="K29" s="4"/>
      <c r="M29" s="4" t="s">
        <v>134</v>
      </c>
    </row>
    <row r="30">
      <c r="B30" s="35"/>
      <c r="H30" s="5" t="s">
        <v>173</v>
      </c>
      <c r="M30" s="4" t="s">
        <v>154</v>
      </c>
    </row>
    <row r="31">
      <c r="B31" s="33"/>
      <c r="M31" s="4" t="s">
        <v>159</v>
      </c>
    </row>
    <row r="32">
      <c r="M32" s="4" t="s">
        <v>161</v>
      </c>
    </row>
    <row r="33">
      <c r="M33" s="5" t="s">
        <v>162</v>
      </c>
      <c r="N33" s="5">
        <v>1.0</v>
      </c>
    </row>
    <row r="34">
      <c r="M34" s="5" t="s">
        <v>163</v>
      </c>
      <c r="N34" s="5">
        <v>1.0</v>
      </c>
    </row>
    <row r="35">
      <c r="B35" s="33"/>
      <c r="N35" s="4"/>
      <c r="O35" s="4"/>
      <c r="P35" s="4"/>
    </row>
    <row r="36">
      <c r="B36" s="35"/>
      <c r="H36" s="4"/>
    </row>
    <row r="37">
      <c r="B37" s="35"/>
      <c r="H37" s="11"/>
      <c r="I37" s="11"/>
      <c r="J37" s="11"/>
      <c r="K37" s="11"/>
      <c r="L37" s="11"/>
      <c r="M37" s="11"/>
      <c r="N37" s="11"/>
      <c r="O37" s="11"/>
      <c r="P37" s="11"/>
    </row>
    <row r="38">
      <c r="B38" s="35"/>
      <c r="H38" s="34">
        <v>45547.0</v>
      </c>
      <c r="M38" s="4"/>
      <c r="N38" s="4" t="s">
        <v>87</v>
      </c>
      <c r="O38" s="4" t="s">
        <v>88</v>
      </c>
      <c r="P38" s="4" t="s">
        <v>89</v>
      </c>
    </row>
    <row r="39">
      <c r="H39" s="4"/>
      <c r="M39" s="4" t="s">
        <v>152</v>
      </c>
      <c r="N39" s="5">
        <v>4.0</v>
      </c>
    </row>
    <row r="40">
      <c r="H40" s="5" t="s">
        <v>174</v>
      </c>
      <c r="K40" s="4"/>
      <c r="M40" s="4" t="s">
        <v>134</v>
      </c>
      <c r="N40" s="5">
        <v>2.0</v>
      </c>
    </row>
    <row r="41">
      <c r="M41" s="4" t="s">
        <v>154</v>
      </c>
    </row>
    <row r="42">
      <c r="H42" s="5" t="s">
        <v>175</v>
      </c>
      <c r="M42" s="4" t="s">
        <v>159</v>
      </c>
      <c r="N42" s="5">
        <v>3.0</v>
      </c>
    </row>
    <row r="43">
      <c r="M43" s="4" t="s">
        <v>161</v>
      </c>
    </row>
    <row r="44">
      <c r="M44" s="5" t="s">
        <v>162</v>
      </c>
    </row>
    <row r="45">
      <c r="M45" s="5" t="s">
        <v>163</v>
      </c>
    </row>
    <row r="46">
      <c r="M46" s="5" t="s">
        <v>164</v>
      </c>
      <c r="N46" s="5">
        <v>1.0</v>
      </c>
      <c r="O46" s="4"/>
      <c r="P46" s="4"/>
    </row>
    <row r="47">
      <c r="H47" s="4"/>
    </row>
    <row r="48">
      <c r="H48" s="4"/>
    </row>
    <row r="49">
      <c r="H49" s="11"/>
      <c r="I49" s="11"/>
      <c r="J49" s="11"/>
      <c r="K49" s="11"/>
      <c r="L49" s="11"/>
      <c r="M49" s="11"/>
      <c r="N49" s="11"/>
      <c r="O49" s="11"/>
      <c r="P49" s="11"/>
    </row>
    <row r="50">
      <c r="H50" s="34">
        <v>45554.0</v>
      </c>
      <c r="N50" s="4" t="s">
        <v>87</v>
      </c>
      <c r="O50" s="4" t="s">
        <v>88</v>
      </c>
      <c r="P50" s="4" t="s">
        <v>89</v>
      </c>
    </row>
    <row r="51">
      <c r="H51" s="4"/>
      <c r="M51" s="4" t="s">
        <v>152</v>
      </c>
      <c r="N51" s="5">
        <v>3.0</v>
      </c>
    </row>
    <row r="52">
      <c r="H52" s="5" t="s">
        <v>176</v>
      </c>
      <c r="K52" s="4"/>
      <c r="M52" s="4" t="s">
        <v>134</v>
      </c>
      <c r="N52" s="5">
        <v>1.0</v>
      </c>
    </row>
    <row r="53">
      <c r="M53" s="4" t="s">
        <v>154</v>
      </c>
    </row>
    <row r="54">
      <c r="H54" s="5" t="s">
        <v>177</v>
      </c>
      <c r="M54" s="4" t="s">
        <v>159</v>
      </c>
      <c r="N54" s="5">
        <v>2.0</v>
      </c>
    </row>
    <row r="55">
      <c r="M55" s="4" t="s">
        <v>161</v>
      </c>
    </row>
    <row r="56">
      <c r="M56" s="5" t="s">
        <v>162</v>
      </c>
    </row>
    <row r="57">
      <c r="M57" s="5" t="s">
        <v>163</v>
      </c>
    </row>
    <row r="58">
      <c r="M58" s="5" t="s">
        <v>164</v>
      </c>
    </row>
    <row r="59">
      <c r="M59" s="5" t="s">
        <v>129</v>
      </c>
      <c r="N59" s="5">
        <v>1.0</v>
      </c>
    </row>
    <row r="60">
      <c r="M60" s="5" t="s">
        <v>167</v>
      </c>
      <c r="N60" s="5">
        <v>1.0</v>
      </c>
    </row>
    <row r="61">
      <c r="M61" s="5" t="s">
        <v>168</v>
      </c>
      <c r="N61" s="5">
        <v>1.0</v>
      </c>
    </row>
    <row r="62">
      <c r="H62" s="11"/>
      <c r="I62" s="11"/>
      <c r="J62" s="11"/>
      <c r="K62" s="11"/>
      <c r="L62" s="11"/>
      <c r="M62" s="11"/>
      <c r="N62" s="11"/>
      <c r="O62" s="11"/>
      <c r="P62" s="11"/>
    </row>
    <row r="63">
      <c r="H63" s="34">
        <v>45561.0</v>
      </c>
      <c r="N63" s="4" t="s">
        <v>87</v>
      </c>
      <c r="O63" s="4" t="s">
        <v>88</v>
      </c>
      <c r="P63" s="4" t="s">
        <v>89</v>
      </c>
    </row>
    <row r="64">
      <c r="H64" s="4"/>
      <c r="M64" s="4" t="s">
        <v>152</v>
      </c>
      <c r="N64" s="5">
        <v>2.0</v>
      </c>
    </row>
    <row r="65">
      <c r="H65" s="4" t="s">
        <v>178</v>
      </c>
      <c r="M65" s="4" t="s">
        <v>134</v>
      </c>
    </row>
    <row r="66">
      <c r="H66" s="4"/>
      <c r="M66" s="4" t="s">
        <v>154</v>
      </c>
    </row>
    <row r="67">
      <c r="M67" s="4" t="s">
        <v>159</v>
      </c>
      <c r="N67" s="5">
        <v>3.0</v>
      </c>
    </row>
    <row r="68">
      <c r="H68" s="5" t="s">
        <v>179</v>
      </c>
      <c r="M68" s="4" t="s">
        <v>161</v>
      </c>
    </row>
    <row r="69">
      <c r="M69" s="5" t="s">
        <v>162</v>
      </c>
      <c r="N69" s="5">
        <v>2.0</v>
      </c>
    </row>
    <row r="70">
      <c r="M70" s="5" t="s">
        <v>163</v>
      </c>
      <c r="N70" s="5">
        <v>1.0</v>
      </c>
    </row>
    <row r="71">
      <c r="M71" s="5" t="s">
        <v>164</v>
      </c>
    </row>
    <row r="72">
      <c r="M72" s="5" t="s">
        <v>129</v>
      </c>
      <c r="N72" s="5">
        <v>1.0</v>
      </c>
    </row>
    <row r="73">
      <c r="M73" s="5" t="s">
        <v>167</v>
      </c>
    </row>
    <row r="74">
      <c r="M74" s="5" t="s">
        <v>168</v>
      </c>
    </row>
    <row r="75">
      <c r="M75" s="5" t="s">
        <v>171</v>
      </c>
      <c r="N75" s="5">
        <v>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13"/>
    <col customWidth="1" min="2" max="2" width="18.75"/>
    <col customWidth="1" hidden="1" min="3" max="4" width="11.13"/>
    <col customWidth="1" min="5" max="8" width="11.13"/>
    <col customWidth="1" min="9" max="9" width="18.75"/>
    <col customWidth="1" min="10" max="10" width="1.88"/>
    <col customWidth="1" min="11" max="11" width="2.75"/>
    <col customWidth="1" min="12" max="12" width="14.5"/>
    <col customWidth="1" min="13" max="13" width="11.13"/>
    <col customWidth="1" min="14" max="14" width="14.25"/>
    <col customWidth="1" min="15" max="17" width="11.13"/>
    <col customWidth="1" min="18" max="18" width="4.63"/>
    <col customWidth="1" min="19" max="19" width="36.88"/>
    <col customWidth="1" min="20" max="29" width="8.25"/>
  </cols>
  <sheetData>
    <row r="1">
      <c r="A1" s="9" t="s">
        <v>82</v>
      </c>
      <c r="B1" s="10" t="s">
        <v>180</v>
      </c>
      <c r="C1" s="10"/>
      <c r="D1" s="10"/>
      <c r="E1" s="10"/>
      <c r="F1" s="10"/>
      <c r="G1" s="10"/>
      <c r="H1" s="10"/>
      <c r="I1" s="11"/>
      <c r="J1" s="11"/>
      <c r="K1" s="11"/>
      <c r="L1" s="11"/>
      <c r="M1" s="11"/>
      <c r="N1" s="11"/>
      <c r="O1" s="11"/>
      <c r="P1" s="11"/>
      <c r="Q1" s="11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9" t="s">
        <v>84</v>
      </c>
      <c r="B2" s="10" t="s">
        <v>85</v>
      </c>
      <c r="C2" s="12"/>
      <c r="D2" s="12"/>
      <c r="E2" s="12"/>
      <c r="F2" s="12"/>
      <c r="G2" s="12"/>
      <c r="H2" s="12"/>
      <c r="I2" s="4" t="s">
        <v>181</v>
      </c>
      <c r="J2" s="13"/>
      <c r="K2" s="14"/>
      <c r="L2" s="14"/>
      <c r="M2" s="14"/>
      <c r="N2" s="4"/>
      <c r="O2" s="4" t="s">
        <v>87</v>
      </c>
      <c r="P2" s="4" t="s">
        <v>88</v>
      </c>
      <c r="Q2" s="4" t="s">
        <v>89</v>
      </c>
      <c r="R2" s="12"/>
      <c r="S2" s="15" t="s">
        <v>182</v>
      </c>
      <c r="T2" s="15" t="s">
        <v>91</v>
      </c>
      <c r="U2" s="15" t="s">
        <v>92</v>
      </c>
      <c r="V2" s="15" t="s">
        <v>93</v>
      </c>
      <c r="W2" s="15" t="s">
        <v>183</v>
      </c>
      <c r="X2" s="15" t="s">
        <v>95</v>
      </c>
      <c r="Y2" s="15" t="s">
        <v>96</v>
      </c>
      <c r="Z2" s="15" t="s">
        <v>97</v>
      </c>
      <c r="AA2" s="15" t="s">
        <v>98</v>
      </c>
      <c r="AB2" s="15" t="s">
        <v>99</v>
      </c>
    </row>
    <row r="3">
      <c r="A3" s="9" t="s">
        <v>100</v>
      </c>
      <c r="B3" s="10" t="s">
        <v>101</v>
      </c>
      <c r="C3" s="10"/>
      <c r="D3" s="10"/>
      <c r="E3" s="10"/>
      <c r="F3" s="10"/>
      <c r="G3" s="10"/>
      <c r="H3" s="10"/>
      <c r="I3" s="4" t="s">
        <v>139</v>
      </c>
      <c r="J3" s="14"/>
      <c r="K3" s="14"/>
      <c r="L3" s="14"/>
      <c r="M3" s="14"/>
      <c r="N3" s="4" t="str">
        <f t="shared" ref="N3:N9" si="1">B10</f>
        <v>Caio Scofield</v>
      </c>
      <c r="O3" s="16"/>
      <c r="P3" s="10"/>
      <c r="Q3" s="16"/>
      <c r="R3" s="10"/>
      <c r="S3" s="27" t="s">
        <v>184</v>
      </c>
      <c r="T3" s="18">
        <v>11.0</v>
      </c>
      <c r="U3" s="18">
        <v>1.0</v>
      </c>
      <c r="V3" s="18">
        <v>0.0</v>
      </c>
      <c r="W3" s="18">
        <f t="shared" ref="W3:W12" si="2">T3*3+V3</f>
        <v>33</v>
      </c>
      <c r="X3" s="18">
        <v>70.0</v>
      </c>
      <c r="Y3" s="18">
        <v>39.0</v>
      </c>
      <c r="Z3" s="18">
        <f t="shared" ref="Z3:Z12" si="3">X3-Y3</f>
        <v>31</v>
      </c>
      <c r="AA3" s="19">
        <v>0.9167</v>
      </c>
      <c r="AB3" s="5">
        <f t="shared" ref="AB3:AB12" si="4">sum(T3:V3)</f>
        <v>12</v>
      </c>
    </row>
    <row r="4">
      <c r="A4" s="9" t="s">
        <v>104</v>
      </c>
      <c r="B4" s="5">
        <v>12.0</v>
      </c>
      <c r="I4" s="4" t="s">
        <v>185</v>
      </c>
      <c r="J4" s="4">
        <v>2.0</v>
      </c>
      <c r="K4" s="4">
        <v>3.0</v>
      </c>
      <c r="L4" s="4" t="s">
        <v>105</v>
      </c>
      <c r="M4" s="14"/>
      <c r="N4" s="4" t="str">
        <f t="shared" si="1"/>
        <v>Daniel Tedesco</v>
      </c>
      <c r="O4" s="16"/>
      <c r="P4" s="16"/>
      <c r="Q4" s="16"/>
      <c r="S4" s="27" t="s">
        <v>186</v>
      </c>
      <c r="T4" s="18">
        <v>8.0</v>
      </c>
      <c r="U4" s="18">
        <v>4.0</v>
      </c>
      <c r="V4" s="18">
        <v>0.0</v>
      </c>
      <c r="W4" s="18">
        <f t="shared" si="2"/>
        <v>24</v>
      </c>
      <c r="X4" s="18">
        <v>74.0</v>
      </c>
      <c r="Y4" s="18">
        <v>55.0</v>
      </c>
      <c r="Z4" s="18">
        <f t="shared" si="3"/>
        <v>19</v>
      </c>
      <c r="AA4" s="19">
        <v>0.6667</v>
      </c>
      <c r="AB4" s="5">
        <f t="shared" si="4"/>
        <v>12</v>
      </c>
    </row>
    <row r="5">
      <c r="A5" s="9" t="s">
        <v>108</v>
      </c>
      <c r="B5" s="20">
        <f>1895*(1+0.0475)</f>
        <v>1985.0125</v>
      </c>
      <c r="I5" s="14"/>
      <c r="J5" s="14"/>
      <c r="K5" s="14"/>
      <c r="L5" s="14"/>
      <c r="M5" s="14"/>
      <c r="N5" s="4" t="str">
        <f t="shared" si="1"/>
        <v>Guilherme Kuster</v>
      </c>
      <c r="O5" s="16"/>
      <c r="P5" s="16"/>
      <c r="Q5" s="16"/>
      <c r="S5" s="27" t="s">
        <v>187</v>
      </c>
      <c r="T5" s="18">
        <v>7.0</v>
      </c>
      <c r="U5" s="18">
        <v>5.0</v>
      </c>
      <c r="V5" s="18">
        <v>0.0</v>
      </c>
      <c r="W5" s="18">
        <f t="shared" si="2"/>
        <v>21</v>
      </c>
      <c r="X5" s="18">
        <v>63.0</v>
      </c>
      <c r="Y5" s="18">
        <v>59.0</v>
      </c>
      <c r="Z5" s="18">
        <f t="shared" si="3"/>
        <v>4</v>
      </c>
      <c r="AA5" s="19">
        <v>0.5833</v>
      </c>
      <c r="AB5" s="5">
        <f t="shared" si="4"/>
        <v>12</v>
      </c>
    </row>
    <row r="6">
      <c r="A6" s="9" t="s">
        <v>110</v>
      </c>
      <c r="B6" s="22">
        <v>45566.0</v>
      </c>
      <c r="C6" s="23"/>
      <c r="I6" s="14"/>
      <c r="J6" s="14"/>
      <c r="K6" s="14"/>
      <c r="L6" s="14"/>
      <c r="M6" s="14"/>
      <c r="N6" s="4" t="str">
        <f t="shared" si="1"/>
        <v>Joao Barros</v>
      </c>
      <c r="O6" s="16"/>
      <c r="P6" s="10">
        <v>1.0</v>
      </c>
      <c r="Q6" s="16"/>
      <c r="S6" s="27" t="s">
        <v>188</v>
      </c>
      <c r="T6" s="18">
        <v>6.0</v>
      </c>
      <c r="U6" s="18">
        <v>5.0</v>
      </c>
      <c r="V6" s="18">
        <v>1.0</v>
      </c>
      <c r="W6" s="18">
        <f t="shared" si="2"/>
        <v>19</v>
      </c>
      <c r="X6" s="18">
        <v>52.0</v>
      </c>
      <c r="Y6" s="18">
        <v>38.0</v>
      </c>
      <c r="Z6" s="18">
        <f t="shared" si="3"/>
        <v>14</v>
      </c>
      <c r="AA6" s="19">
        <v>0.5417</v>
      </c>
      <c r="AB6" s="5">
        <f t="shared" si="4"/>
        <v>12</v>
      </c>
    </row>
    <row r="7">
      <c r="I7" s="14"/>
      <c r="J7" s="14"/>
      <c r="K7" s="14"/>
      <c r="L7" s="14"/>
      <c r="M7" s="14"/>
      <c r="N7" s="4" t="str">
        <f t="shared" si="1"/>
        <v>Joao Pinto</v>
      </c>
      <c r="O7" s="16"/>
      <c r="P7" s="16"/>
      <c r="Q7" s="16"/>
      <c r="S7" s="27" t="s">
        <v>189</v>
      </c>
      <c r="T7" s="18">
        <v>5.0</v>
      </c>
      <c r="U7" s="18">
        <v>5.0</v>
      </c>
      <c r="V7" s="18">
        <v>0.0</v>
      </c>
      <c r="W7" s="18">
        <f t="shared" si="2"/>
        <v>15</v>
      </c>
      <c r="X7" s="18">
        <v>45.0</v>
      </c>
      <c r="Y7" s="18">
        <v>50.0</v>
      </c>
      <c r="Z7" s="18">
        <f t="shared" si="3"/>
        <v>-5</v>
      </c>
      <c r="AA7" s="19">
        <v>0.5</v>
      </c>
      <c r="AB7" s="5">
        <f t="shared" si="4"/>
        <v>10</v>
      </c>
    </row>
    <row r="8">
      <c r="I8" s="14"/>
      <c r="J8" s="14"/>
      <c r="K8" s="14"/>
      <c r="L8" s="14"/>
      <c r="M8" s="14"/>
      <c r="N8" s="4" t="str">
        <f t="shared" si="1"/>
        <v>Pablo Rodrigues</v>
      </c>
      <c r="O8" s="10">
        <v>1.0</v>
      </c>
      <c r="P8" s="16"/>
      <c r="Q8" s="16"/>
      <c r="S8" s="27" t="s">
        <v>190</v>
      </c>
      <c r="T8" s="18">
        <v>4.0</v>
      </c>
      <c r="U8" s="18">
        <v>4.0</v>
      </c>
      <c r="V8" s="18">
        <v>2.0</v>
      </c>
      <c r="W8" s="18">
        <f t="shared" si="2"/>
        <v>14</v>
      </c>
      <c r="X8" s="18">
        <v>63.0</v>
      </c>
      <c r="Y8" s="18">
        <v>49.0</v>
      </c>
      <c r="Z8" s="18">
        <f t="shared" si="3"/>
        <v>14</v>
      </c>
      <c r="AA8" s="19">
        <v>0.5</v>
      </c>
      <c r="AB8" s="5">
        <f t="shared" si="4"/>
        <v>10</v>
      </c>
    </row>
    <row r="9">
      <c r="A9" s="25"/>
      <c r="B9" s="9" t="s">
        <v>114</v>
      </c>
      <c r="C9" s="9" t="s">
        <v>115</v>
      </c>
      <c r="D9" s="9" t="s">
        <v>116</v>
      </c>
      <c r="E9" s="9" t="s">
        <v>117</v>
      </c>
      <c r="F9" s="9" t="s">
        <v>118</v>
      </c>
      <c r="G9" s="9" t="s">
        <v>119</v>
      </c>
      <c r="H9" s="9"/>
      <c r="I9" s="14"/>
      <c r="J9" s="14"/>
      <c r="K9" s="14"/>
      <c r="L9" s="14"/>
      <c r="M9" s="14"/>
      <c r="N9" s="4" t="str">
        <f t="shared" si="1"/>
        <v>Rafael Franco</v>
      </c>
      <c r="O9" s="10">
        <v>1.0</v>
      </c>
      <c r="P9" s="10"/>
      <c r="Q9" s="10"/>
      <c r="R9" s="9"/>
      <c r="S9" s="27" t="s">
        <v>191</v>
      </c>
      <c r="T9" s="18">
        <v>4.0</v>
      </c>
      <c r="U9" s="18">
        <v>6.0</v>
      </c>
      <c r="V9" s="18">
        <v>2.0</v>
      </c>
      <c r="W9" s="18">
        <f t="shared" si="2"/>
        <v>14</v>
      </c>
      <c r="X9" s="18">
        <v>58.0</v>
      </c>
      <c r="Y9" s="18">
        <v>64.0</v>
      </c>
      <c r="Z9" s="18">
        <f t="shared" si="3"/>
        <v>-6</v>
      </c>
      <c r="AA9" s="19">
        <v>0.4167</v>
      </c>
      <c r="AB9" s="5">
        <f t="shared" si="4"/>
        <v>12</v>
      </c>
    </row>
    <row r="10">
      <c r="A10" s="9">
        <v>1.0</v>
      </c>
      <c r="B10" s="4" t="s">
        <v>123</v>
      </c>
      <c r="C10" s="26">
        <f t="shared" ref="C10:C20" si="5">$B$5/counta($B$10:$B$20)</f>
        <v>180.4556818</v>
      </c>
      <c r="D10" s="4" t="s">
        <v>121</v>
      </c>
      <c r="E10" s="24">
        <f t="shared" ref="E10:E20" si="6">sumif($N:$N,B10,$O:$O)</f>
        <v>0</v>
      </c>
      <c r="F10" s="24">
        <f t="shared" ref="F10:F20" si="7">sumif($N:$N,B10,$P:$P)</f>
        <v>0</v>
      </c>
      <c r="G10" s="24">
        <f t="shared" ref="G10:G20" si="8">sumif($N:$N,B10,$Q:$Q)</f>
        <v>0</v>
      </c>
      <c r="H10" s="4"/>
      <c r="I10" s="14"/>
      <c r="J10" s="14"/>
      <c r="K10" s="14"/>
      <c r="L10" s="14"/>
      <c r="M10" s="14"/>
      <c r="N10" s="4" t="str">
        <f t="shared" ref="N10:N11" si="9">B19</f>
        <v>Roberto Machado</v>
      </c>
      <c r="O10" s="16"/>
      <c r="P10" s="10"/>
      <c r="Q10" s="10"/>
      <c r="R10" s="4"/>
      <c r="S10" s="27" t="s">
        <v>192</v>
      </c>
      <c r="T10" s="18">
        <v>4.0</v>
      </c>
      <c r="U10" s="18">
        <v>6.0</v>
      </c>
      <c r="V10" s="18">
        <v>1.0</v>
      </c>
      <c r="W10" s="18">
        <f t="shared" si="2"/>
        <v>13</v>
      </c>
      <c r="X10" s="18">
        <v>45.0</v>
      </c>
      <c r="Y10" s="18">
        <v>60.0</v>
      </c>
      <c r="Z10" s="18">
        <f t="shared" si="3"/>
        <v>-15</v>
      </c>
      <c r="AA10" s="19">
        <v>0.4091</v>
      </c>
      <c r="AB10" s="5">
        <f t="shared" si="4"/>
        <v>11</v>
      </c>
    </row>
    <row r="11">
      <c r="A11" s="9">
        <v>2.0</v>
      </c>
      <c r="B11" s="5" t="s">
        <v>124</v>
      </c>
      <c r="C11" s="26">
        <f t="shared" si="5"/>
        <v>180.4556818</v>
      </c>
      <c r="D11" s="4" t="s">
        <v>121</v>
      </c>
      <c r="E11" s="24">
        <f t="shared" si="6"/>
        <v>7</v>
      </c>
      <c r="F11" s="24">
        <f t="shared" si="7"/>
        <v>3</v>
      </c>
      <c r="G11" s="24">
        <f t="shared" si="8"/>
        <v>1</v>
      </c>
      <c r="H11" s="4"/>
      <c r="I11" s="30"/>
      <c r="J11" s="30"/>
      <c r="K11" s="30"/>
      <c r="L11" s="30"/>
      <c r="M11" s="30"/>
      <c r="N11" s="4" t="str">
        <f t="shared" si="9"/>
        <v>Sergio Filho</v>
      </c>
      <c r="O11" s="10">
        <v>1.0</v>
      </c>
      <c r="P11" s="16"/>
      <c r="Q11" s="16"/>
      <c r="R11" s="4"/>
      <c r="S11" s="27" t="s">
        <v>193</v>
      </c>
      <c r="T11" s="18">
        <v>3.0</v>
      </c>
      <c r="U11" s="18">
        <v>8.0</v>
      </c>
      <c r="V11" s="18">
        <v>0.0</v>
      </c>
      <c r="W11" s="18">
        <f t="shared" si="2"/>
        <v>9</v>
      </c>
      <c r="X11" s="18">
        <v>48.0</v>
      </c>
      <c r="Y11" s="18">
        <v>65.0</v>
      </c>
      <c r="Z11" s="18">
        <f t="shared" si="3"/>
        <v>-17</v>
      </c>
      <c r="AA11" s="19">
        <v>0.2727</v>
      </c>
      <c r="AB11" s="5">
        <f t="shared" si="4"/>
        <v>11</v>
      </c>
    </row>
    <row r="12">
      <c r="A12" s="9">
        <v>3.0</v>
      </c>
      <c r="B12" s="4" t="s">
        <v>17</v>
      </c>
      <c r="C12" s="26">
        <f t="shared" si="5"/>
        <v>180.4556818</v>
      </c>
      <c r="D12" s="4" t="s">
        <v>121</v>
      </c>
      <c r="E12" s="24">
        <f t="shared" si="6"/>
        <v>21</v>
      </c>
      <c r="F12" s="24">
        <f t="shared" si="7"/>
        <v>3</v>
      </c>
      <c r="G12" s="24">
        <f t="shared" si="8"/>
        <v>1</v>
      </c>
      <c r="H12" s="4"/>
      <c r="I12" s="14"/>
      <c r="J12" s="29"/>
      <c r="K12" s="14"/>
      <c r="L12" s="14"/>
      <c r="M12" s="14"/>
      <c r="N12" s="4" t="str">
        <f>B22</f>
        <v>Arthur Mendes</v>
      </c>
      <c r="O12" s="10"/>
      <c r="P12" s="16"/>
      <c r="Q12" s="16"/>
      <c r="R12" s="4"/>
      <c r="S12" s="27" t="s">
        <v>194</v>
      </c>
      <c r="T12" s="18">
        <v>2.0</v>
      </c>
      <c r="U12" s="18">
        <v>9.0</v>
      </c>
      <c r="V12" s="18">
        <v>1.0</v>
      </c>
      <c r="W12" s="18">
        <f t="shared" si="2"/>
        <v>7</v>
      </c>
      <c r="X12" s="18">
        <v>56.0</v>
      </c>
      <c r="Y12" s="18">
        <v>84.0</v>
      </c>
      <c r="Z12" s="18">
        <f t="shared" si="3"/>
        <v>-28</v>
      </c>
      <c r="AA12" s="19">
        <v>0.2083</v>
      </c>
      <c r="AB12" s="5">
        <f t="shared" si="4"/>
        <v>12</v>
      </c>
    </row>
    <row r="13">
      <c r="A13" s="9">
        <v>4.0</v>
      </c>
      <c r="B13" s="4" t="s">
        <v>29</v>
      </c>
      <c r="C13" s="26">
        <f t="shared" si="5"/>
        <v>180.4556818</v>
      </c>
      <c r="D13" s="4" t="s">
        <v>121</v>
      </c>
      <c r="E13" s="24">
        <f t="shared" si="6"/>
        <v>0</v>
      </c>
      <c r="F13" s="24">
        <f t="shared" si="7"/>
        <v>1</v>
      </c>
      <c r="G13" s="24">
        <f t="shared" si="8"/>
        <v>0</v>
      </c>
      <c r="H13" s="4"/>
      <c r="I13" s="11"/>
      <c r="J13" s="11"/>
      <c r="K13" s="11"/>
      <c r="L13" s="11"/>
      <c r="M13" s="11"/>
      <c r="N13" s="11"/>
      <c r="O13" s="11"/>
      <c r="P13" s="11"/>
      <c r="Q13" s="11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9">
        <v>5.0</v>
      </c>
      <c r="B14" s="4" t="s">
        <v>31</v>
      </c>
      <c r="C14" s="26">
        <f t="shared" si="5"/>
        <v>180.4556818</v>
      </c>
      <c r="D14" s="4" t="s">
        <v>121</v>
      </c>
      <c r="E14" s="24">
        <f t="shared" si="6"/>
        <v>0</v>
      </c>
      <c r="F14" s="24">
        <f t="shared" si="7"/>
        <v>0</v>
      </c>
      <c r="G14" s="24">
        <f t="shared" si="8"/>
        <v>0</v>
      </c>
      <c r="H14" s="4"/>
      <c r="I14" s="4" t="s">
        <v>195</v>
      </c>
      <c r="J14" s="14"/>
      <c r="K14" s="14"/>
      <c r="L14" s="14"/>
      <c r="M14" s="14"/>
      <c r="N14" s="14"/>
      <c r="O14" s="4" t="s">
        <v>87</v>
      </c>
      <c r="P14" s="4" t="s">
        <v>88</v>
      </c>
      <c r="Q14" s="4" t="s">
        <v>89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9">
        <v>6.0</v>
      </c>
      <c r="B15" s="4" t="s">
        <v>42</v>
      </c>
      <c r="C15" s="26">
        <f t="shared" si="5"/>
        <v>180.4556818</v>
      </c>
      <c r="D15" s="4" t="s">
        <v>121</v>
      </c>
      <c r="E15" s="24">
        <f t="shared" si="6"/>
        <v>1</v>
      </c>
      <c r="F15" s="24">
        <f t="shared" si="7"/>
        <v>1</v>
      </c>
      <c r="G15" s="24">
        <f t="shared" si="8"/>
        <v>0</v>
      </c>
      <c r="H15" s="4"/>
      <c r="I15" s="4" t="s">
        <v>102</v>
      </c>
      <c r="J15" s="4"/>
      <c r="K15" s="4"/>
      <c r="L15" s="4"/>
      <c r="M15" s="4"/>
      <c r="N15" s="14" t="str">
        <f t="shared" ref="N15:N25" si="10">B10</f>
        <v>Caio Scofield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9">
        <v>7.0</v>
      </c>
      <c r="B16" s="4" t="s">
        <v>47</v>
      </c>
      <c r="C16" s="26">
        <f t="shared" si="5"/>
        <v>180.4556818</v>
      </c>
      <c r="D16" s="4" t="s">
        <v>121</v>
      </c>
      <c r="E16" s="24">
        <f t="shared" si="6"/>
        <v>6</v>
      </c>
      <c r="F16" s="24">
        <f t="shared" si="7"/>
        <v>1</v>
      </c>
      <c r="G16" s="24">
        <f t="shared" si="8"/>
        <v>0</v>
      </c>
      <c r="H16" s="4"/>
      <c r="I16" s="4" t="s">
        <v>105</v>
      </c>
      <c r="J16" s="4">
        <v>5.0</v>
      </c>
      <c r="K16" s="4">
        <v>2.0</v>
      </c>
      <c r="L16" s="4" t="s">
        <v>196</v>
      </c>
      <c r="M16" s="4"/>
      <c r="N16" s="14" t="str">
        <f t="shared" si="10"/>
        <v>Daniel Tedesco</v>
      </c>
      <c r="O16" s="10">
        <v>1.0</v>
      </c>
      <c r="P16" s="10"/>
      <c r="Q16" s="10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9">
        <v>8.0</v>
      </c>
      <c r="B17" s="4" t="s">
        <v>49</v>
      </c>
      <c r="C17" s="26">
        <f t="shared" si="5"/>
        <v>180.4556818</v>
      </c>
      <c r="D17" s="4" t="s">
        <v>121</v>
      </c>
      <c r="E17" s="24">
        <f t="shared" si="6"/>
        <v>2</v>
      </c>
      <c r="F17" s="24">
        <f t="shared" si="7"/>
        <v>3</v>
      </c>
      <c r="G17" s="24">
        <f t="shared" si="8"/>
        <v>0</v>
      </c>
      <c r="H17" s="4"/>
      <c r="I17" s="4"/>
      <c r="J17" s="4"/>
      <c r="K17" s="4"/>
      <c r="L17" s="4"/>
      <c r="M17" s="4"/>
      <c r="N17" s="28" t="str">
        <f t="shared" si="10"/>
        <v>Guilherme Kuster</v>
      </c>
      <c r="O17" s="10">
        <v>1.0</v>
      </c>
      <c r="P17" s="10">
        <v>2.0</v>
      </c>
      <c r="Q17" s="10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9">
        <v>9.0</v>
      </c>
      <c r="B18" s="4" t="s">
        <v>51</v>
      </c>
      <c r="C18" s="26">
        <f t="shared" si="5"/>
        <v>180.4556818</v>
      </c>
      <c r="D18" s="4" t="s">
        <v>121</v>
      </c>
      <c r="E18" s="24">
        <f t="shared" si="6"/>
        <v>2</v>
      </c>
      <c r="F18" s="24">
        <f t="shared" si="7"/>
        <v>1</v>
      </c>
      <c r="G18" s="24">
        <f t="shared" si="8"/>
        <v>0</v>
      </c>
      <c r="H18" s="4"/>
      <c r="I18" s="4"/>
      <c r="J18" s="4"/>
      <c r="K18" s="4"/>
      <c r="L18" s="4"/>
      <c r="M18" s="4"/>
      <c r="N18" s="28" t="str">
        <f t="shared" si="10"/>
        <v>Joao Barros</v>
      </c>
      <c r="O18" s="10"/>
      <c r="P18" s="10"/>
      <c r="Q18" s="10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9">
        <v>10.0</v>
      </c>
      <c r="B19" s="4" t="s">
        <v>59</v>
      </c>
      <c r="C19" s="26">
        <f t="shared" si="5"/>
        <v>180.4556818</v>
      </c>
      <c r="D19" s="4" t="s">
        <v>121</v>
      </c>
      <c r="E19" s="24">
        <f t="shared" si="6"/>
        <v>1</v>
      </c>
      <c r="F19" s="24">
        <f t="shared" si="7"/>
        <v>1</v>
      </c>
      <c r="G19" s="24">
        <f t="shared" si="8"/>
        <v>1</v>
      </c>
      <c r="H19" s="4"/>
      <c r="I19" s="4"/>
      <c r="J19" s="4"/>
      <c r="K19" s="4"/>
      <c r="L19" s="4"/>
      <c r="M19" s="4"/>
      <c r="N19" s="28" t="str">
        <f t="shared" si="10"/>
        <v>Joao Pinto</v>
      </c>
      <c r="O19" s="10"/>
      <c r="P19" s="10"/>
      <c r="Q19" s="10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9">
        <v>11.0</v>
      </c>
      <c r="B20" s="4" t="s">
        <v>63</v>
      </c>
      <c r="C20" s="26">
        <f t="shared" si="5"/>
        <v>180.4556818</v>
      </c>
      <c r="D20" s="4" t="s">
        <v>121</v>
      </c>
      <c r="E20" s="24">
        <f t="shared" si="6"/>
        <v>12</v>
      </c>
      <c r="F20" s="24">
        <f t="shared" si="7"/>
        <v>5</v>
      </c>
      <c r="G20" s="24">
        <f t="shared" si="8"/>
        <v>0</v>
      </c>
      <c r="H20" s="4"/>
      <c r="I20" s="4"/>
      <c r="J20" s="4"/>
      <c r="K20" s="4"/>
      <c r="L20" s="4"/>
      <c r="M20" s="4"/>
      <c r="N20" s="28" t="str">
        <f t="shared" si="10"/>
        <v>Pablo Rodrigues</v>
      </c>
      <c r="O20" s="10"/>
      <c r="P20" s="10"/>
      <c r="Q20" s="10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9"/>
      <c r="B21" s="9" t="s">
        <v>127</v>
      </c>
      <c r="C21" s="4"/>
      <c r="D21" s="4"/>
      <c r="H21" s="4"/>
      <c r="I21" s="14"/>
      <c r="J21" s="14"/>
      <c r="K21" s="14"/>
      <c r="L21" s="14"/>
      <c r="M21" s="14"/>
      <c r="N21" s="28" t="str">
        <f t="shared" si="10"/>
        <v>Rafael Franco</v>
      </c>
      <c r="O21" s="10">
        <v>1.0</v>
      </c>
      <c r="P21" s="10"/>
      <c r="Q21" s="16"/>
      <c r="R21" s="4"/>
    </row>
    <row r="22">
      <c r="B22" s="5" t="s">
        <v>5</v>
      </c>
      <c r="E22" s="24">
        <f t="shared" ref="E22:E30" si="11">sumif($N:$N,B22,$O:$O)</f>
        <v>8</v>
      </c>
      <c r="F22" s="24">
        <f t="shared" ref="F22:F30" si="12">sumif($N:$N,B22,$P:$P)</f>
        <v>5</v>
      </c>
      <c r="G22" s="24">
        <f t="shared" ref="G22:G30" si="13">sumif($N:$N,B22,$Q:$Q)</f>
        <v>0</v>
      </c>
      <c r="I22" s="14"/>
      <c r="J22" s="14"/>
      <c r="K22" s="14"/>
      <c r="L22" s="14"/>
      <c r="M22" s="14"/>
      <c r="N22" s="28" t="str">
        <f t="shared" si="10"/>
        <v>Rafael Mattos</v>
      </c>
      <c r="O22" s="10"/>
      <c r="P22" s="10"/>
      <c r="Q22" s="16"/>
    </row>
    <row r="23">
      <c r="B23" s="5" t="s">
        <v>197</v>
      </c>
      <c r="E23" s="24">
        <f t="shared" si="11"/>
        <v>2</v>
      </c>
      <c r="F23" s="24">
        <f t="shared" si="12"/>
        <v>2</v>
      </c>
      <c r="G23" s="24">
        <f t="shared" si="13"/>
        <v>0</v>
      </c>
      <c r="I23" s="14"/>
      <c r="J23" s="14"/>
      <c r="K23" s="14"/>
      <c r="L23" s="14"/>
      <c r="M23" s="14"/>
      <c r="N23" s="14" t="str">
        <f t="shared" si="10"/>
        <v>Ranieri Filho</v>
      </c>
      <c r="O23" s="14"/>
      <c r="P23" s="14"/>
      <c r="Q23" s="14"/>
    </row>
    <row r="24">
      <c r="B24" s="5" t="s">
        <v>11</v>
      </c>
      <c r="E24" s="24">
        <f t="shared" si="11"/>
        <v>6</v>
      </c>
      <c r="F24" s="24">
        <f t="shared" si="12"/>
        <v>6</v>
      </c>
      <c r="G24" s="24">
        <f t="shared" si="13"/>
        <v>0</v>
      </c>
      <c r="N24" s="28" t="str">
        <f t="shared" si="10"/>
        <v>Roberto Machado</v>
      </c>
      <c r="O24" s="4"/>
      <c r="P24" s="4"/>
      <c r="Q24" s="4"/>
    </row>
    <row r="25">
      <c r="B25" s="5" t="s">
        <v>13</v>
      </c>
      <c r="E25" s="24">
        <f t="shared" si="11"/>
        <v>0</v>
      </c>
      <c r="F25" s="24">
        <f t="shared" si="12"/>
        <v>0</v>
      </c>
      <c r="G25" s="24">
        <f t="shared" si="13"/>
        <v>1</v>
      </c>
      <c r="I25" s="4"/>
      <c r="N25" s="28" t="str">
        <f t="shared" si="10"/>
        <v>Sergio Filho</v>
      </c>
      <c r="O25" s="5">
        <v>2.0</v>
      </c>
      <c r="P25" s="5">
        <v>1.0</v>
      </c>
    </row>
    <row r="26">
      <c r="B26" s="5" t="s">
        <v>198</v>
      </c>
      <c r="E26" s="24">
        <f t="shared" si="11"/>
        <v>0</v>
      </c>
      <c r="F26" s="24">
        <f t="shared" si="12"/>
        <v>0</v>
      </c>
      <c r="G26" s="24">
        <f t="shared" si="13"/>
        <v>0</v>
      </c>
      <c r="L26" s="4"/>
      <c r="N26" s="4" t="str">
        <f>B25</f>
        <v>Darley Tomaz</v>
      </c>
    </row>
    <row r="27">
      <c r="B27" s="5" t="s">
        <v>199</v>
      </c>
      <c r="E27" s="24">
        <f t="shared" si="11"/>
        <v>1</v>
      </c>
      <c r="F27" s="24">
        <f t="shared" si="12"/>
        <v>0</v>
      </c>
      <c r="G27" s="24">
        <f t="shared" si="13"/>
        <v>0</v>
      </c>
      <c r="I27" s="11"/>
      <c r="J27" s="11"/>
      <c r="K27" s="11"/>
      <c r="L27" s="11"/>
      <c r="M27" s="11"/>
      <c r="N27" s="11"/>
      <c r="O27" s="11"/>
      <c r="P27" s="11"/>
      <c r="Q27" s="11"/>
    </row>
    <row r="28">
      <c r="B28" s="5" t="s">
        <v>200</v>
      </c>
      <c r="E28" s="24">
        <f t="shared" si="11"/>
        <v>0</v>
      </c>
      <c r="F28" s="24">
        <f t="shared" si="12"/>
        <v>0</v>
      </c>
      <c r="G28" s="24">
        <f t="shared" si="13"/>
        <v>1</v>
      </c>
      <c r="I28" s="4" t="s">
        <v>201</v>
      </c>
      <c r="N28" s="4"/>
      <c r="O28" s="4" t="s">
        <v>87</v>
      </c>
      <c r="P28" s="4" t="s">
        <v>88</v>
      </c>
      <c r="Q28" s="4" t="s">
        <v>89</v>
      </c>
    </row>
    <row r="29">
      <c r="B29" s="33" t="s">
        <v>202</v>
      </c>
      <c r="E29" s="24">
        <f t="shared" si="11"/>
        <v>0</v>
      </c>
      <c r="F29" s="24">
        <f t="shared" si="12"/>
        <v>0</v>
      </c>
      <c r="G29" s="24">
        <f t="shared" si="13"/>
        <v>0</v>
      </c>
      <c r="I29" s="4" t="s">
        <v>139</v>
      </c>
      <c r="J29" s="4"/>
      <c r="K29" s="4"/>
      <c r="L29" s="4"/>
      <c r="N29" s="24" t="str">
        <f t="shared" ref="N29:N31" si="14">B10</f>
        <v>Caio Scofield</v>
      </c>
    </row>
    <row r="30">
      <c r="B30" s="5" t="s">
        <v>203</v>
      </c>
      <c r="E30" s="24">
        <f t="shared" si="11"/>
        <v>1</v>
      </c>
      <c r="F30" s="24">
        <f t="shared" si="12"/>
        <v>2</v>
      </c>
      <c r="G30" s="24">
        <f t="shared" si="13"/>
        <v>0</v>
      </c>
      <c r="I30" s="4" t="s">
        <v>144</v>
      </c>
      <c r="J30" s="4">
        <v>2.0</v>
      </c>
      <c r="K30" s="4">
        <v>3.0</v>
      </c>
      <c r="L30" s="4" t="s">
        <v>105</v>
      </c>
      <c r="N30" s="24" t="str">
        <f t="shared" si="14"/>
        <v>Daniel Tedesco</v>
      </c>
    </row>
    <row r="31">
      <c r="N31" s="24" t="str">
        <f t="shared" si="14"/>
        <v>Guilherme Kuster</v>
      </c>
    </row>
    <row r="32">
      <c r="N32" s="24" t="str">
        <f t="shared" ref="N32:N36" si="15">B16</f>
        <v>Rafael Franco</v>
      </c>
      <c r="O32" s="4"/>
      <c r="P32" s="4"/>
      <c r="Q32" s="4"/>
    </row>
    <row r="33">
      <c r="I33" s="4"/>
      <c r="N33" s="24" t="str">
        <f t="shared" si="15"/>
        <v>Rafael Mattos</v>
      </c>
    </row>
    <row r="34">
      <c r="I34" s="14"/>
      <c r="J34" s="14"/>
      <c r="K34" s="14"/>
      <c r="L34" s="14"/>
      <c r="M34" s="14"/>
      <c r="N34" s="24" t="str">
        <f t="shared" si="15"/>
        <v>Ranieri Filho</v>
      </c>
      <c r="O34" s="14"/>
      <c r="P34" s="14"/>
      <c r="Q34" s="14"/>
    </row>
    <row r="35">
      <c r="N35" s="24" t="str">
        <f t="shared" si="15"/>
        <v>Roberto Machado</v>
      </c>
      <c r="O35" s="4"/>
      <c r="P35" s="4"/>
      <c r="Q35" s="4"/>
    </row>
    <row r="36">
      <c r="I36" s="4"/>
      <c r="N36" s="24" t="str">
        <f t="shared" si="15"/>
        <v>Sergio Filho</v>
      </c>
      <c r="O36" s="5">
        <v>3.0</v>
      </c>
    </row>
    <row r="37">
      <c r="L37" s="4"/>
      <c r="N37" s="4" t="str">
        <f>B28</f>
        <v>Luigi Tedesco</v>
      </c>
      <c r="Q37" s="5">
        <v>1.0</v>
      </c>
    </row>
    <row r="38">
      <c r="I38" s="11"/>
      <c r="J38" s="11"/>
      <c r="K38" s="11"/>
      <c r="L38" s="11"/>
      <c r="M38" s="11"/>
      <c r="N38" s="11"/>
      <c r="O38" s="11"/>
      <c r="P38" s="11"/>
      <c r="Q38" s="11"/>
    </row>
    <row r="39">
      <c r="I39" s="5" t="s">
        <v>204</v>
      </c>
      <c r="N39" s="4"/>
      <c r="O39" s="4" t="s">
        <v>87</v>
      </c>
      <c r="P39" s="4" t="s">
        <v>88</v>
      </c>
      <c r="Q39" s="4" t="s">
        <v>89</v>
      </c>
    </row>
    <row r="40">
      <c r="I40" s="4" t="s">
        <v>102</v>
      </c>
      <c r="N40" s="24" t="str">
        <f t="shared" ref="N40:N42" si="16">B10</f>
        <v>Caio Scofield</v>
      </c>
    </row>
    <row r="41">
      <c r="I41" s="5" t="s">
        <v>205</v>
      </c>
      <c r="J41" s="5">
        <v>3.0</v>
      </c>
      <c r="K41" s="5">
        <v>5.0</v>
      </c>
      <c r="L41" s="4" t="s">
        <v>105</v>
      </c>
      <c r="N41" s="24" t="str">
        <f t="shared" si="16"/>
        <v>Daniel Tedesco</v>
      </c>
      <c r="O41" s="5">
        <v>2.0</v>
      </c>
    </row>
    <row r="42">
      <c r="N42" s="24" t="str">
        <f t="shared" si="16"/>
        <v>Guilherme Kuster</v>
      </c>
      <c r="O42" s="5">
        <v>1.0</v>
      </c>
    </row>
    <row r="43">
      <c r="N43" s="24" t="str">
        <f t="shared" ref="N43:N45" si="17">B14</f>
        <v>Joao Pinto</v>
      </c>
      <c r="P43" s="4"/>
      <c r="Q43" s="4"/>
    </row>
    <row r="44">
      <c r="I44" s="4"/>
      <c r="N44" s="24" t="str">
        <f t="shared" si="17"/>
        <v>Pablo Rodrigues</v>
      </c>
      <c r="P44" s="5">
        <v>1.0</v>
      </c>
    </row>
    <row r="45">
      <c r="I45" s="4"/>
      <c r="N45" s="24" t="str">
        <f t="shared" si="17"/>
        <v>Rafael Franco</v>
      </c>
      <c r="P45" s="5">
        <v>1.0</v>
      </c>
    </row>
    <row r="46">
      <c r="I46" s="14"/>
      <c r="J46" s="14"/>
      <c r="K46" s="14"/>
      <c r="L46" s="14"/>
      <c r="M46" s="14"/>
      <c r="N46" s="24" t="str">
        <f t="shared" ref="N46:N48" si="18">B18</f>
        <v>Ranieri Filho</v>
      </c>
      <c r="O46" s="14"/>
      <c r="P46" s="14"/>
      <c r="Q46" s="14"/>
    </row>
    <row r="47">
      <c r="N47" s="24" t="str">
        <f t="shared" si="18"/>
        <v>Roberto Machado</v>
      </c>
      <c r="Q47" s="5">
        <v>1.0</v>
      </c>
    </row>
    <row r="48">
      <c r="N48" s="24" t="str">
        <f t="shared" si="18"/>
        <v>Sergio Filho</v>
      </c>
      <c r="O48" s="5">
        <v>2.0</v>
      </c>
      <c r="P48" s="5">
        <v>1.0</v>
      </c>
    </row>
    <row r="49">
      <c r="N49" s="24" t="str">
        <f>B22</f>
        <v>Arthur Mendes</v>
      </c>
    </row>
    <row r="50">
      <c r="I50" s="11"/>
      <c r="J50" s="11"/>
      <c r="K50" s="11"/>
      <c r="L50" s="11"/>
      <c r="M50" s="11"/>
      <c r="N50" s="11"/>
      <c r="O50" s="11"/>
      <c r="P50" s="11"/>
      <c r="Q50" s="11"/>
    </row>
    <row r="51">
      <c r="I51" s="5" t="s">
        <v>206</v>
      </c>
      <c r="N51" s="4"/>
      <c r="O51" s="4" t="s">
        <v>87</v>
      </c>
      <c r="P51" s="4" t="s">
        <v>88</v>
      </c>
      <c r="Q51" s="4" t="s">
        <v>89</v>
      </c>
    </row>
    <row r="52">
      <c r="I52" s="4" t="s">
        <v>131</v>
      </c>
      <c r="N52" s="24" t="str">
        <f t="shared" ref="N52:N55" si="19">B10</f>
        <v>Caio Scofield</v>
      </c>
    </row>
    <row r="53">
      <c r="I53" s="4" t="s">
        <v>105</v>
      </c>
      <c r="J53" s="5">
        <v>6.0</v>
      </c>
      <c r="K53" s="5">
        <v>4.0</v>
      </c>
      <c r="L53" s="4" t="s">
        <v>207</v>
      </c>
      <c r="N53" s="24" t="str">
        <f t="shared" si="19"/>
        <v>Daniel Tedesco</v>
      </c>
      <c r="P53" s="5">
        <v>1.0</v>
      </c>
    </row>
    <row r="54">
      <c r="N54" s="24" t="str">
        <f t="shared" si="19"/>
        <v>Guilherme Kuster</v>
      </c>
      <c r="O54" s="5">
        <v>1.0</v>
      </c>
      <c r="P54" s="5">
        <v>1.0</v>
      </c>
    </row>
    <row r="55">
      <c r="N55" s="24" t="str">
        <f t="shared" si="19"/>
        <v>Joao Barros</v>
      </c>
    </row>
    <row r="56">
      <c r="N56" s="24" t="str">
        <f>B16</f>
        <v>Rafael Franco</v>
      </c>
      <c r="O56" s="5">
        <v>2.0</v>
      </c>
    </row>
    <row r="57">
      <c r="N57" s="24" t="str">
        <f t="shared" ref="N57:N58" si="20">B19</f>
        <v>Roberto Machado</v>
      </c>
    </row>
    <row r="58">
      <c r="N58" s="24" t="str">
        <f t="shared" si="20"/>
        <v>Sergio Filho</v>
      </c>
      <c r="O58" s="5">
        <v>2.0</v>
      </c>
      <c r="P58" s="5">
        <v>3.0</v>
      </c>
      <c r="Q58" s="4"/>
    </row>
    <row r="59">
      <c r="I59" s="4"/>
      <c r="N59" s="24" t="str">
        <f>B22</f>
        <v>Arthur Mendes</v>
      </c>
      <c r="O59" s="5">
        <v>1.0</v>
      </c>
    </row>
    <row r="60">
      <c r="I60" s="11"/>
      <c r="J60" s="11"/>
      <c r="K60" s="11"/>
      <c r="L60" s="11"/>
      <c r="M60" s="11"/>
      <c r="N60" s="11"/>
      <c r="O60" s="11"/>
      <c r="P60" s="11"/>
      <c r="Q60" s="11"/>
    </row>
    <row r="61">
      <c r="I61" s="5" t="s">
        <v>208</v>
      </c>
      <c r="N61" s="4"/>
      <c r="O61" s="4" t="s">
        <v>87</v>
      </c>
      <c r="P61" s="4" t="s">
        <v>88</v>
      </c>
      <c r="Q61" s="4" t="s">
        <v>89</v>
      </c>
    </row>
    <row r="62">
      <c r="I62" s="4" t="s">
        <v>136</v>
      </c>
      <c r="N62" s="24" t="str">
        <f t="shared" ref="N62:N68" si="21">B10</f>
        <v>Caio Scofield</v>
      </c>
    </row>
    <row r="63">
      <c r="I63" s="4" t="s">
        <v>105</v>
      </c>
      <c r="J63" s="5">
        <v>5.0</v>
      </c>
      <c r="K63" s="5">
        <v>3.0</v>
      </c>
      <c r="L63" s="4" t="s">
        <v>209</v>
      </c>
      <c r="N63" s="24" t="str">
        <f t="shared" si="21"/>
        <v>Daniel Tedesco</v>
      </c>
      <c r="O63" s="5">
        <v>1.0</v>
      </c>
      <c r="P63" s="5">
        <v>1.0</v>
      </c>
    </row>
    <row r="64">
      <c r="N64" s="24" t="str">
        <f t="shared" si="21"/>
        <v>Guilherme Kuster</v>
      </c>
      <c r="O64" s="5">
        <v>3.0</v>
      </c>
    </row>
    <row r="65">
      <c r="N65" s="24" t="str">
        <f t="shared" si="21"/>
        <v>Joao Barros</v>
      </c>
    </row>
    <row r="66">
      <c r="N66" s="24" t="str">
        <f t="shared" si="21"/>
        <v>Joao Pinto</v>
      </c>
    </row>
    <row r="67">
      <c r="N67" s="24" t="str">
        <f t="shared" si="21"/>
        <v>Pablo Rodrigues</v>
      </c>
    </row>
    <row r="68">
      <c r="N68" s="24" t="str">
        <f t="shared" si="21"/>
        <v>Rafael Franco</v>
      </c>
    </row>
    <row r="69">
      <c r="N69" s="24" t="str">
        <f t="shared" ref="N69:N70" si="22">B18</f>
        <v>Ranieri Filho</v>
      </c>
      <c r="P69" s="5">
        <v>1.0</v>
      </c>
    </row>
    <row r="70">
      <c r="N70" s="24" t="str">
        <f t="shared" si="22"/>
        <v>Roberto Machado</v>
      </c>
      <c r="O70" s="5">
        <v>1.0</v>
      </c>
      <c r="P70" s="5">
        <v>1.0</v>
      </c>
    </row>
    <row r="71">
      <c r="N71" s="24" t="str">
        <f>B22</f>
        <v>Arthur Mendes</v>
      </c>
    </row>
    <row r="72">
      <c r="I72" s="11"/>
      <c r="J72" s="11"/>
      <c r="K72" s="11"/>
      <c r="L72" s="11"/>
      <c r="M72" s="11"/>
      <c r="N72" s="11"/>
      <c r="O72" s="11"/>
      <c r="P72" s="11"/>
      <c r="Q72" s="11"/>
    </row>
    <row r="73">
      <c r="I73" s="5" t="s">
        <v>210</v>
      </c>
      <c r="O73" s="4" t="s">
        <v>87</v>
      </c>
      <c r="P73" s="4" t="s">
        <v>88</v>
      </c>
      <c r="Q73" s="4" t="s">
        <v>89</v>
      </c>
    </row>
    <row r="74">
      <c r="I74" s="4" t="s">
        <v>139</v>
      </c>
      <c r="N74" s="24" t="str">
        <f t="shared" ref="N74:N76" si="23">B11</f>
        <v>Daniel Tedesco</v>
      </c>
      <c r="O74" s="5">
        <v>1.0</v>
      </c>
    </row>
    <row r="75">
      <c r="I75" s="4" t="s">
        <v>105</v>
      </c>
      <c r="J75" s="5">
        <v>6.0</v>
      </c>
      <c r="K75" s="5">
        <v>2.0</v>
      </c>
      <c r="L75" s="5" t="s">
        <v>211</v>
      </c>
      <c r="N75" s="24" t="str">
        <f t="shared" si="23"/>
        <v>Guilherme Kuster</v>
      </c>
      <c r="O75" s="5">
        <v>4.0</v>
      </c>
    </row>
    <row r="76">
      <c r="N76" s="24" t="str">
        <f t="shared" si="23"/>
        <v>Joao Barros</v>
      </c>
    </row>
    <row r="77">
      <c r="N77" s="24" t="str">
        <f>B15</f>
        <v>Pablo Rodrigues</v>
      </c>
    </row>
    <row r="78">
      <c r="N78" s="24" t="str">
        <f>B17</f>
        <v>Rafael Mattos</v>
      </c>
      <c r="P78" s="5">
        <v>2.0</v>
      </c>
    </row>
    <row r="79">
      <c r="N79" s="24" t="str">
        <f t="shared" ref="N79:N80" si="24">B19</f>
        <v>Roberto Machado</v>
      </c>
    </row>
    <row r="80">
      <c r="N80" s="24" t="str">
        <f t="shared" si="24"/>
        <v>Sergio Filho</v>
      </c>
    </row>
    <row r="81">
      <c r="N81" s="24" t="str">
        <f>B22</f>
        <v>Arthur Mendes</v>
      </c>
      <c r="O81" s="5">
        <v>1.0</v>
      </c>
    </row>
    <row r="82">
      <c r="I82" s="11"/>
      <c r="J82" s="11"/>
      <c r="K82" s="11"/>
      <c r="L82" s="11"/>
      <c r="M82" s="11"/>
      <c r="N82" s="11"/>
      <c r="O82" s="11"/>
      <c r="P82" s="11"/>
      <c r="Q82" s="11"/>
    </row>
    <row r="83">
      <c r="I83" s="5" t="s">
        <v>212</v>
      </c>
      <c r="O83" s="4" t="s">
        <v>87</v>
      </c>
      <c r="P83" s="4" t="s">
        <v>88</v>
      </c>
      <c r="Q83" s="4" t="s">
        <v>89</v>
      </c>
    </row>
    <row r="84">
      <c r="I84" s="4" t="s">
        <v>136</v>
      </c>
      <c r="N84" s="24" t="str">
        <f t="shared" ref="N84:N87" si="25">B10</f>
        <v>Caio Scofield</v>
      </c>
    </row>
    <row r="85">
      <c r="I85" s="4" t="s">
        <v>105</v>
      </c>
      <c r="J85" s="5">
        <v>7.0</v>
      </c>
      <c r="K85" s="5">
        <v>4.0</v>
      </c>
      <c r="L85" s="5" t="s">
        <v>213</v>
      </c>
      <c r="N85" s="24" t="str">
        <f t="shared" si="25"/>
        <v>Daniel Tedesco</v>
      </c>
    </row>
    <row r="86">
      <c r="N86" s="24" t="str">
        <f t="shared" si="25"/>
        <v>Guilherme Kuster</v>
      </c>
      <c r="O86" s="5">
        <v>4.0</v>
      </c>
    </row>
    <row r="87">
      <c r="N87" s="24" t="str">
        <f t="shared" si="25"/>
        <v>Joao Barros</v>
      </c>
    </row>
    <row r="88">
      <c r="N88" s="24" t="str">
        <f t="shared" ref="N88:N90" si="26">B16</f>
        <v>Rafael Franco</v>
      </c>
      <c r="O88" s="5">
        <v>1.0</v>
      </c>
    </row>
    <row r="89">
      <c r="N89" s="24" t="str">
        <f t="shared" si="26"/>
        <v>Rafael Mattos</v>
      </c>
      <c r="O89" s="5">
        <v>1.0</v>
      </c>
      <c r="P89" s="5">
        <v>1.0</v>
      </c>
    </row>
    <row r="90">
      <c r="N90" s="24" t="str">
        <f t="shared" si="26"/>
        <v>Ranieri Filho</v>
      </c>
      <c r="O90" s="5">
        <v>1.0</v>
      </c>
    </row>
    <row r="91">
      <c r="N91" s="24" t="str">
        <f>B22</f>
        <v>Arthur Mendes</v>
      </c>
      <c r="P91" s="5">
        <v>2.0</v>
      </c>
    </row>
    <row r="92">
      <c r="I92" s="11"/>
      <c r="J92" s="11"/>
      <c r="K92" s="11"/>
      <c r="L92" s="11"/>
      <c r="M92" s="11"/>
      <c r="N92" s="11"/>
      <c r="O92" s="11"/>
      <c r="P92" s="11"/>
      <c r="Q92" s="11"/>
    </row>
    <row r="93">
      <c r="I93" s="5" t="s">
        <v>214</v>
      </c>
      <c r="O93" s="4" t="s">
        <v>87</v>
      </c>
      <c r="P93" s="4" t="s">
        <v>88</v>
      </c>
      <c r="Q93" s="4" t="s">
        <v>89</v>
      </c>
    </row>
    <row r="94">
      <c r="I94" s="4" t="s">
        <v>102</v>
      </c>
      <c r="N94" s="24" t="str">
        <f>B10</f>
        <v>Caio Scofield</v>
      </c>
    </row>
    <row r="95">
      <c r="I95" s="5" t="s">
        <v>215</v>
      </c>
      <c r="J95" s="5">
        <v>7.0</v>
      </c>
      <c r="K95" s="5">
        <v>5.0</v>
      </c>
      <c r="L95" s="4" t="s">
        <v>105</v>
      </c>
      <c r="N95" s="24" t="str">
        <f t="shared" ref="N95:N97" si="27">B12</f>
        <v>Guilherme Kuster</v>
      </c>
      <c r="O95" s="5">
        <v>2.0</v>
      </c>
      <c r="Q95" s="5">
        <v>1.0</v>
      </c>
    </row>
    <row r="96">
      <c r="N96" s="24" t="str">
        <f t="shared" si="27"/>
        <v>Joao Barros</v>
      </c>
    </row>
    <row r="97">
      <c r="N97" s="24" t="str">
        <f t="shared" si="27"/>
        <v>Joao Pinto</v>
      </c>
    </row>
    <row r="98">
      <c r="N98" s="24" t="str">
        <f>B17</f>
        <v>Rafael Mattos</v>
      </c>
      <c r="O98" s="5">
        <v>1.0</v>
      </c>
    </row>
    <row r="99">
      <c r="N99" s="24" t="str">
        <f t="shared" ref="N99:N100" si="28">B19</f>
        <v>Roberto Machado</v>
      </c>
    </row>
    <row r="100">
      <c r="N100" s="24" t="str">
        <f t="shared" si="28"/>
        <v>Sergio Filho</v>
      </c>
      <c r="O100" s="5">
        <v>1.0</v>
      </c>
    </row>
    <row r="101">
      <c r="N101" s="24" t="str">
        <f>B22</f>
        <v>Arthur Mendes</v>
      </c>
    </row>
    <row r="102">
      <c r="N102" s="24" t="str">
        <f t="shared" ref="N102:N103" si="29">B24</f>
        <v>Cleiton Castro</v>
      </c>
      <c r="O102" s="5">
        <v>1.0</v>
      </c>
    </row>
    <row r="103">
      <c r="N103" s="24" t="str">
        <f t="shared" si="29"/>
        <v>Darley Tomaz</v>
      </c>
    </row>
    <row r="104">
      <c r="I104" s="11"/>
      <c r="J104" s="11"/>
      <c r="K104" s="11"/>
      <c r="L104" s="11"/>
      <c r="M104" s="11"/>
      <c r="N104" s="11"/>
      <c r="O104" s="11"/>
      <c r="P104" s="11"/>
      <c r="Q104" s="11"/>
    </row>
    <row r="105">
      <c r="I105" s="5" t="s">
        <v>216</v>
      </c>
      <c r="O105" s="4" t="s">
        <v>87</v>
      </c>
      <c r="P105" s="4" t="s">
        <v>88</v>
      </c>
      <c r="Q105" s="4" t="s">
        <v>89</v>
      </c>
    </row>
    <row r="106">
      <c r="I106" s="4" t="s">
        <v>131</v>
      </c>
      <c r="N106" s="24" t="str">
        <f>B11</f>
        <v>Daniel Tedesco</v>
      </c>
      <c r="O106" s="5">
        <v>1.0</v>
      </c>
      <c r="P106" s="5">
        <v>1.0</v>
      </c>
    </row>
    <row r="107">
      <c r="I107" s="4" t="s">
        <v>105</v>
      </c>
      <c r="J107" s="5">
        <v>8.0</v>
      </c>
      <c r="K107" s="5">
        <v>3.0</v>
      </c>
      <c r="L107" s="5" t="s">
        <v>217</v>
      </c>
      <c r="N107" s="24" t="str">
        <f>B13</f>
        <v>Joao Barros</v>
      </c>
    </row>
    <row r="108">
      <c r="N108" s="24" t="str">
        <f>B16</f>
        <v>Rafael Franco</v>
      </c>
      <c r="O108" s="5">
        <v>1.0</v>
      </c>
    </row>
    <row r="109">
      <c r="N109" s="24" t="str">
        <f t="shared" ref="N109:N110" si="30">B18</f>
        <v>Ranieri Filho</v>
      </c>
      <c r="O109" s="5">
        <v>1.0</v>
      </c>
    </row>
    <row r="110">
      <c r="N110" s="24" t="str">
        <f t="shared" si="30"/>
        <v>Roberto Machado</v>
      </c>
    </row>
    <row r="111">
      <c r="N111" s="24" t="str">
        <f>B22</f>
        <v>Arthur Mendes</v>
      </c>
      <c r="O111" s="5">
        <v>3.0</v>
      </c>
      <c r="P111" s="5">
        <v>2.0</v>
      </c>
    </row>
    <row r="112">
      <c r="N112" s="24" t="str">
        <f>B24</f>
        <v>Cleiton Castro</v>
      </c>
      <c r="O112" s="5">
        <v>2.0</v>
      </c>
      <c r="P112" s="5">
        <v>2.0</v>
      </c>
    </row>
    <row r="113">
      <c r="N113" s="24" t="str">
        <f>B26</f>
        <v>Giovanni</v>
      </c>
    </row>
    <row r="114">
      <c r="I114" s="11"/>
      <c r="J114" s="11"/>
      <c r="K114" s="11"/>
      <c r="L114" s="11"/>
      <c r="M114" s="11"/>
      <c r="N114" s="11"/>
      <c r="O114" s="11"/>
      <c r="P114" s="11"/>
      <c r="Q114" s="11"/>
    </row>
    <row r="115">
      <c r="I115" s="5" t="s">
        <v>218</v>
      </c>
      <c r="O115" s="4" t="s">
        <v>87</v>
      </c>
      <c r="P115" s="4" t="s">
        <v>88</v>
      </c>
      <c r="Q115" s="4" t="s">
        <v>89</v>
      </c>
    </row>
    <row r="116">
      <c r="I116" s="4" t="s">
        <v>131</v>
      </c>
      <c r="N116" s="24" t="str">
        <f t="shared" ref="N116:N118" si="31">B11</f>
        <v>Daniel Tedesco</v>
      </c>
      <c r="Q116" s="5">
        <v>1.0</v>
      </c>
    </row>
    <row r="117">
      <c r="I117" s="5" t="s">
        <v>219</v>
      </c>
      <c r="J117" s="5">
        <v>5.0</v>
      </c>
      <c r="K117" s="5">
        <v>8.0</v>
      </c>
      <c r="L117" s="4" t="s">
        <v>105</v>
      </c>
      <c r="N117" s="24" t="str">
        <f t="shared" si="31"/>
        <v>Guilherme Kuster</v>
      </c>
      <c r="O117" s="5">
        <v>5.0</v>
      </c>
    </row>
    <row r="118">
      <c r="N118" s="24" t="str">
        <f t="shared" si="31"/>
        <v>Joao Barros</v>
      </c>
    </row>
    <row r="119">
      <c r="N119" s="24" t="str">
        <f t="shared" ref="N119:N120" si="32">B18</f>
        <v>Ranieri Filho</v>
      </c>
    </row>
    <row r="120">
      <c r="N120" s="24" t="str">
        <f t="shared" si="32"/>
        <v>Roberto Machado</v>
      </c>
    </row>
    <row r="121">
      <c r="N121" s="24" t="str">
        <f t="shared" ref="N121:N122" si="33">B24</f>
        <v>Cleiton Castro</v>
      </c>
      <c r="O121" s="5">
        <v>2.0</v>
      </c>
      <c r="P121" s="5">
        <v>3.0</v>
      </c>
    </row>
    <row r="122">
      <c r="N122" s="24" t="str">
        <f t="shared" si="33"/>
        <v>Darley Tomaz</v>
      </c>
      <c r="Q122" s="5">
        <v>1.0</v>
      </c>
    </row>
    <row r="123">
      <c r="N123" s="5" t="s">
        <v>199</v>
      </c>
      <c r="O123" s="5">
        <v>1.0</v>
      </c>
    </row>
    <row r="124">
      <c r="I124" s="11"/>
      <c r="J124" s="11"/>
      <c r="K124" s="11"/>
      <c r="L124" s="11"/>
      <c r="M124" s="11"/>
      <c r="N124" s="11"/>
      <c r="O124" s="11"/>
      <c r="P124" s="11"/>
      <c r="Q124" s="11"/>
    </row>
    <row r="125">
      <c r="I125" s="5" t="s">
        <v>220</v>
      </c>
      <c r="O125" s="4" t="s">
        <v>87</v>
      </c>
      <c r="P125" s="4" t="s">
        <v>88</v>
      </c>
      <c r="Q125" s="4" t="s">
        <v>89</v>
      </c>
    </row>
    <row r="126">
      <c r="I126" s="4" t="s">
        <v>102</v>
      </c>
      <c r="N126" s="24" t="str">
        <f>B11</f>
        <v>Daniel Tedesco</v>
      </c>
      <c r="O126" s="5">
        <v>1.0</v>
      </c>
    </row>
    <row r="127">
      <c r="I127" s="5" t="s">
        <v>196</v>
      </c>
      <c r="J127" s="5">
        <v>2.0</v>
      </c>
      <c r="K127" s="5">
        <v>9.0</v>
      </c>
      <c r="L127" s="4" t="s">
        <v>105</v>
      </c>
      <c r="N127" s="24" t="str">
        <f>B17</f>
        <v>Rafael Mattos</v>
      </c>
    </row>
    <row r="128">
      <c r="N128" s="24" t="str">
        <f t="shared" ref="N128:N129" si="34">B19</f>
        <v>Roberto Machado</v>
      </c>
    </row>
    <row r="129">
      <c r="N129" s="24" t="str">
        <f t="shared" si="34"/>
        <v>Sergio Filho</v>
      </c>
      <c r="O129" s="5">
        <v>1.0</v>
      </c>
    </row>
    <row r="130">
      <c r="N130" s="24" t="str">
        <f t="shared" ref="N130:N132" si="35">B22</f>
        <v>Arthur Mendes</v>
      </c>
      <c r="O130" s="5">
        <v>3.0</v>
      </c>
      <c r="P130" s="5">
        <v>1.0</v>
      </c>
    </row>
    <row r="131">
      <c r="N131" s="24" t="str">
        <f t="shared" si="35"/>
        <v>Chase TenBrook</v>
      </c>
      <c r="O131" s="5">
        <v>2.0</v>
      </c>
      <c r="P131" s="5">
        <v>2.0</v>
      </c>
    </row>
    <row r="132">
      <c r="N132" s="24" t="str">
        <f t="shared" si="35"/>
        <v>Cleiton Castro</v>
      </c>
      <c r="O132" s="5">
        <v>1.0</v>
      </c>
      <c r="P132" s="5">
        <v>1.0</v>
      </c>
    </row>
    <row r="133">
      <c r="N133" s="24" t="str">
        <f>B30</f>
        <v>Wesley</v>
      </c>
      <c r="O133" s="5">
        <v>1.0</v>
      </c>
      <c r="P133" s="5">
        <v>2.0</v>
      </c>
    </row>
    <row r="134">
      <c r="I134" s="11"/>
      <c r="J134" s="11"/>
      <c r="K134" s="11"/>
      <c r="L134" s="11"/>
      <c r="M134" s="11"/>
      <c r="N134" s="11"/>
      <c r="O134" s="11"/>
      <c r="P134" s="11"/>
      <c r="Q134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13"/>
    <col customWidth="1" min="2" max="2" width="18.75"/>
    <col customWidth="1" hidden="1" min="3" max="4" width="11.13"/>
    <col customWidth="1" min="5" max="8" width="11.13"/>
    <col customWidth="1" min="9" max="9" width="18.75"/>
    <col customWidth="1" min="10" max="10" width="1.88"/>
    <col customWidth="1" min="11" max="11" width="2.75"/>
    <col customWidth="1" min="12" max="13" width="11.13"/>
    <col customWidth="1" min="14" max="14" width="14.25"/>
    <col customWidth="1" min="15" max="17" width="11.13"/>
    <col customWidth="1" min="18" max="18" width="4.63"/>
    <col customWidth="1" min="19" max="19" width="27.38"/>
    <col customWidth="1" min="20" max="29" width="8.25"/>
    <col customWidth="1" min="30" max="30" width="4.63"/>
  </cols>
  <sheetData>
    <row r="1">
      <c r="A1" s="9" t="s">
        <v>82</v>
      </c>
      <c r="B1" s="10" t="s">
        <v>149</v>
      </c>
      <c r="C1" s="10"/>
      <c r="D1" s="10"/>
      <c r="E1" s="10"/>
      <c r="F1" s="10"/>
      <c r="G1" s="10"/>
      <c r="H1" s="10"/>
      <c r="I1" s="11"/>
      <c r="J1" s="11"/>
      <c r="K1" s="11"/>
      <c r="L1" s="11"/>
      <c r="M1" s="11"/>
      <c r="N1" s="11"/>
      <c r="O1" s="11"/>
      <c r="P1" s="11"/>
      <c r="Q1" s="11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>
      <c r="A2" s="9" t="s">
        <v>84</v>
      </c>
      <c r="B2" s="10" t="s">
        <v>85</v>
      </c>
      <c r="C2" s="12"/>
      <c r="D2" s="12"/>
      <c r="E2" s="12"/>
      <c r="F2" s="12"/>
      <c r="G2" s="12"/>
      <c r="H2" s="12"/>
      <c r="I2" s="4" t="s">
        <v>221</v>
      </c>
      <c r="J2" s="13"/>
      <c r="K2" s="14"/>
      <c r="L2" s="14"/>
      <c r="M2" s="14"/>
      <c r="N2" s="4"/>
      <c r="O2" s="4" t="s">
        <v>87</v>
      </c>
      <c r="P2" s="4" t="s">
        <v>88</v>
      </c>
      <c r="Q2" s="4" t="s">
        <v>89</v>
      </c>
      <c r="R2" s="12"/>
      <c r="S2" s="15" t="s">
        <v>182</v>
      </c>
      <c r="T2" s="15" t="s">
        <v>91</v>
      </c>
      <c r="U2" s="15" t="s">
        <v>92</v>
      </c>
      <c r="V2" s="15" t="s">
        <v>93</v>
      </c>
      <c r="W2" s="15" t="s">
        <v>183</v>
      </c>
      <c r="X2" s="15" t="s">
        <v>95</v>
      </c>
      <c r="Y2" s="15" t="s">
        <v>96</v>
      </c>
      <c r="Z2" s="15" t="s">
        <v>97</v>
      </c>
      <c r="AA2" s="15" t="s">
        <v>98</v>
      </c>
      <c r="AB2" s="15" t="s">
        <v>99</v>
      </c>
      <c r="AC2" s="12"/>
      <c r="AD2" s="12"/>
    </row>
    <row r="3">
      <c r="A3" s="9" t="s">
        <v>100</v>
      </c>
      <c r="B3" s="10" t="s">
        <v>101</v>
      </c>
      <c r="C3" s="10"/>
      <c r="D3" s="10"/>
      <c r="E3" s="10"/>
      <c r="F3" s="10"/>
      <c r="G3" s="10"/>
      <c r="H3" s="10"/>
      <c r="I3" s="4" t="s">
        <v>139</v>
      </c>
      <c r="J3" s="14"/>
      <c r="K3" s="14"/>
      <c r="L3" s="14"/>
      <c r="M3" s="14"/>
      <c r="N3" s="4" t="str">
        <f>B10</f>
        <v>Arthur Mendes</v>
      </c>
      <c r="O3" s="16"/>
      <c r="P3" s="10">
        <v>1.0</v>
      </c>
      <c r="Q3" s="16"/>
      <c r="R3" s="10"/>
      <c r="S3" s="36" t="s">
        <v>222</v>
      </c>
      <c r="T3" s="18">
        <v>5.0</v>
      </c>
      <c r="U3" s="18">
        <v>1.0</v>
      </c>
      <c r="V3" s="18">
        <v>1.0</v>
      </c>
      <c r="W3" s="18">
        <f t="shared" ref="W3:W8" si="1">T3*3+V3</f>
        <v>16</v>
      </c>
      <c r="X3" s="18">
        <v>41.0</v>
      </c>
      <c r="Y3" s="18">
        <v>30.0</v>
      </c>
      <c r="Z3" s="18">
        <f t="shared" ref="Z3:Z8" si="2">X3-Y3</f>
        <v>11</v>
      </c>
      <c r="AA3" s="19">
        <v>0.7857</v>
      </c>
      <c r="AB3" s="18">
        <v>7.0</v>
      </c>
      <c r="AC3" s="10"/>
    </row>
    <row r="4">
      <c r="A4" s="9" t="s">
        <v>104</v>
      </c>
      <c r="B4" s="5">
        <v>7.0</v>
      </c>
      <c r="I4" s="4" t="s">
        <v>219</v>
      </c>
      <c r="J4" s="4">
        <v>3.0</v>
      </c>
      <c r="K4" s="4">
        <v>5.0</v>
      </c>
      <c r="L4" s="4" t="s">
        <v>105</v>
      </c>
      <c r="M4" s="14"/>
      <c r="N4" s="4" t="str">
        <f t="shared" ref="N4:N5" si="3">B13</f>
        <v>Joao Barros</v>
      </c>
      <c r="O4" s="16"/>
      <c r="P4" s="16"/>
      <c r="Q4" s="16"/>
      <c r="S4" s="36" t="s">
        <v>223</v>
      </c>
      <c r="T4" s="18">
        <v>4.0</v>
      </c>
      <c r="U4" s="18">
        <v>2.0</v>
      </c>
      <c r="V4" s="18">
        <v>1.0</v>
      </c>
      <c r="W4" s="18">
        <f t="shared" si="1"/>
        <v>13</v>
      </c>
      <c r="X4" s="18">
        <v>34.0</v>
      </c>
      <c r="Y4" s="18">
        <v>32.0</v>
      </c>
      <c r="Z4" s="18">
        <f t="shared" si="2"/>
        <v>2</v>
      </c>
      <c r="AA4" s="19">
        <v>0.6429</v>
      </c>
      <c r="AB4" s="18">
        <v>7.0</v>
      </c>
    </row>
    <row r="5">
      <c r="A5" s="9" t="s">
        <v>108</v>
      </c>
      <c r="B5" s="20">
        <f>1050*(1+0.0475)</f>
        <v>1099.875</v>
      </c>
      <c r="C5" s="23">
        <f>B5/12</f>
        <v>91.65625</v>
      </c>
      <c r="I5" s="14"/>
      <c r="J5" s="14"/>
      <c r="K5" s="14"/>
      <c r="L5" s="14"/>
      <c r="M5" s="14"/>
      <c r="N5" s="4" t="str">
        <f t="shared" si="3"/>
        <v>Joao Pinto</v>
      </c>
      <c r="O5" s="16"/>
      <c r="P5" s="16"/>
      <c r="Q5" s="16"/>
      <c r="S5" s="36" t="s">
        <v>224</v>
      </c>
      <c r="T5" s="18">
        <v>3.0</v>
      </c>
      <c r="U5" s="18">
        <v>2.0</v>
      </c>
      <c r="V5" s="18">
        <v>2.0</v>
      </c>
      <c r="W5" s="18">
        <f t="shared" si="1"/>
        <v>11</v>
      </c>
      <c r="X5" s="18">
        <v>39.0</v>
      </c>
      <c r="Y5" s="18">
        <v>34.0</v>
      </c>
      <c r="Z5" s="18">
        <f t="shared" si="2"/>
        <v>5</v>
      </c>
      <c r="AA5" s="19">
        <v>0.5714</v>
      </c>
      <c r="AB5" s="18">
        <v>7.0</v>
      </c>
    </row>
    <row r="6">
      <c r="A6" s="9" t="s">
        <v>110</v>
      </c>
      <c r="B6" s="22">
        <v>45524.0</v>
      </c>
      <c r="C6" s="23"/>
      <c r="I6" s="14"/>
      <c r="J6" s="14"/>
      <c r="K6" s="14"/>
      <c r="L6" s="14"/>
      <c r="M6" s="14"/>
      <c r="N6" s="4" t="str">
        <f t="shared" ref="N6:N11" si="4">B16</f>
        <v>Pablo Rodrigues</v>
      </c>
      <c r="O6" s="16"/>
      <c r="P6" s="16"/>
      <c r="Q6" s="16"/>
      <c r="S6" s="36" t="s">
        <v>225</v>
      </c>
      <c r="T6" s="18">
        <v>2.0</v>
      </c>
      <c r="U6" s="18">
        <v>2.0</v>
      </c>
      <c r="V6" s="18">
        <v>3.0</v>
      </c>
      <c r="W6" s="18">
        <f t="shared" si="1"/>
        <v>9</v>
      </c>
      <c r="X6" s="18">
        <v>33.0</v>
      </c>
      <c r="Y6" s="18">
        <v>35.0</v>
      </c>
      <c r="Z6" s="18">
        <f t="shared" si="2"/>
        <v>-2</v>
      </c>
      <c r="AA6" s="19">
        <v>0.5</v>
      </c>
      <c r="AB6" s="18">
        <v>7.0</v>
      </c>
    </row>
    <row r="7">
      <c r="I7" s="14"/>
      <c r="J7" s="14"/>
      <c r="K7" s="14"/>
      <c r="L7" s="14"/>
      <c r="M7" s="14"/>
      <c r="N7" s="4" t="str">
        <f t="shared" si="4"/>
        <v>Rafael Franco</v>
      </c>
      <c r="O7" s="16"/>
      <c r="P7" s="16"/>
      <c r="Q7" s="16"/>
      <c r="S7" s="36" t="s">
        <v>226</v>
      </c>
      <c r="T7" s="18">
        <v>2.0</v>
      </c>
      <c r="U7" s="18">
        <v>3.0</v>
      </c>
      <c r="V7" s="18">
        <v>2.0</v>
      </c>
      <c r="W7" s="18">
        <f t="shared" si="1"/>
        <v>8</v>
      </c>
      <c r="X7" s="18">
        <v>35.0</v>
      </c>
      <c r="Y7" s="18">
        <v>35.0</v>
      </c>
      <c r="Z7" s="18">
        <f t="shared" si="2"/>
        <v>0</v>
      </c>
      <c r="AA7" s="19">
        <v>0.4286</v>
      </c>
      <c r="AB7" s="18">
        <v>7.0</v>
      </c>
    </row>
    <row r="8">
      <c r="I8" s="14"/>
      <c r="J8" s="14"/>
      <c r="K8" s="14"/>
      <c r="L8" s="14"/>
      <c r="M8" s="14"/>
      <c r="N8" s="4" t="str">
        <f t="shared" si="4"/>
        <v>Rafael Mattos</v>
      </c>
      <c r="O8" s="10">
        <v>2.0</v>
      </c>
      <c r="P8" s="16"/>
      <c r="Q8" s="16"/>
      <c r="S8" s="36" t="s">
        <v>227</v>
      </c>
      <c r="T8" s="18">
        <v>1.0</v>
      </c>
      <c r="U8" s="18">
        <v>6.0</v>
      </c>
      <c r="V8" s="18">
        <v>0.0</v>
      </c>
      <c r="W8" s="18">
        <f t="shared" si="1"/>
        <v>3</v>
      </c>
      <c r="X8" s="18">
        <v>21.0</v>
      </c>
      <c r="Y8" s="18">
        <v>35.0</v>
      </c>
      <c r="Z8" s="18">
        <f t="shared" si="2"/>
        <v>-14</v>
      </c>
      <c r="AA8" s="19">
        <v>0.1429</v>
      </c>
      <c r="AB8" s="18">
        <v>7.0</v>
      </c>
    </row>
    <row r="9">
      <c r="A9" s="25"/>
      <c r="B9" s="9" t="s">
        <v>114</v>
      </c>
      <c r="C9" s="9" t="s">
        <v>228</v>
      </c>
      <c r="D9" s="9" t="s">
        <v>116</v>
      </c>
      <c r="E9" s="9" t="s">
        <v>117</v>
      </c>
      <c r="F9" s="9" t="s">
        <v>118</v>
      </c>
      <c r="G9" s="9" t="s">
        <v>119</v>
      </c>
      <c r="H9" s="9"/>
      <c r="I9" s="14"/>
      <c r="J9" s="14"/>
      <c r="K9" s="14"/>
      <c r="L9" s="14"/>
      <c r="M9" s="14"/>
      <c r="N9" s="4" t="str">
        <f t="shared" si="4"/>
        <v>Ranieri Filho</v>
      </c>
      <c r="O9" s="16"/>
      <c r="P9" s="10"/>
      <c r="Q9" s="10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>
      <c r="A10" s="9">
        <v>1.0</v>
      </c>
      <c r="B10" s="5" t="s">
        <v>5</v>
      </c>
      <c r="C10" s="4" t="s">
        <v>229</v>
      </c>
      <c r="D10" s="4" t="s">
        <v>121</v>
      </c>
      <c r="E10" s="24">
        <f t="shared" ref="E10:E21" si="5">sumif($N:$N,B10,$O:$O)</f>
        <v>3</v>
      </c>
      <c r="F10" s="24">
        <f t="shared" ref="F10:F21" si="6">sumif($N:$N,B10,$P:$P)</f>
        <v>3</v>
      </c>
      <c r="G10" s="24">
        <f t="shared" ref="G10:G21" si="7">sumif($N:$N,B10,$Q:$Q)</f>
        <v>0</v>
      </c>
      <c r="H10" s="4"/>
      <c r="I10" s="14"/>
      <c r="J10" s="14"/>
      <c r="K10" s="14"/>
      <c r="L10" s="14"/>
      <c r="M10" s="14"/>
      <c r="N10" s="4" t="str">
        <f t="shared" si="4"/>
        <v>Roberto Machado</v>
      </c>
      <c r="O10" s="16"/>
      <c r="P10" s="10">
        <v>1.0</v>
      </c>
      <c r="Q10" s="10">
        <v>1.0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9">
        <v>2.0</v>
      </c>
      <c r="B11" s="4" t="s">
        <v>123</v>
      </c>
      <c r="C11" s="4" t="s">
        <v>121</v>
      </c>
      <c r="D11" s="4" t="s">
        <v>121</v>
      </c>
      <c r="E11" s="24">
        <f t="shared" si="5"/>
        <v>0</v>
      </c>
      <c r="F11" s="24">
        <f t="shared" si="6"/>
        <v>0</v>
      </c>
      <c r="G11" s="24">
        <f t="shared" si="7"/>
        <v>0</v>
      </c>
      <c r="H11" s="4"/>
      <c r="I11" s="30"/>
      <c r="J11" s="30"/>
      <c r="K11" s="30"/>
      <c r="L11" s="30"/>
      <c r="M11" s="30"/>
      <c r="N11" s="4" t="str">
        <f t="shared" si="4"/>
        <v>Sergio Filho</v>
      </c>
      <c r="O11" s="10">
        <v>2.0</v>
      </c>
      <c r="P11" s="16"/>
      <c r="Q11" s="16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9">
        <v>3.0</v>
      </c>
      <c r="B12" s="4" t="s">
        <v>17</v>
      </c>
      <c r="C12" s="4" t="s">
        <v>121</v>
      </c>
      <c r="D12" s="4" t="s">
        <v>121</v>
      </c>
      <c r="E12" s="24">
        <f t="shared" si="5"/>
        <v>12</v>
      </c>
      <c r="F12" s="24">
        <f t="shared" si="6"/>
        <v>3</v>
      </c>
      <c r="G12" s="24">
        <f t="shared" si="7"/>
        <v>1</v>
      </c>
      <c r="H12" s="4"/>
      <c r="I12" s="14"/>
      <c r="J12" s="29"/>
      <c r="K12" s="14"/>
      <c r="L12" s="14"/>
      <c r="M12" s="14"/>
      <c r="N12" s="4" t="str">
        <f t="shared" ref="N12:N13" si="8">B25</f>
        <v>Daniel Tedesco</v>
      </c>
      <c r="O12" s="10">
        <v>1.0</v>
      </c>
      <c r="P12" s="16"/>
      <c r="Q12" s="16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9">
        <v>4.0</v>
      </c>
      <c r="B13" s="4" t="s">
        <v>29</v>
      </c>
      <c r="C13" s="4" t="s">
        <v>121</v>
      </c>
      <c r="D13" s="4" t="s">
        <v>121</v>
      </c>
      <c r="E13" s="24">
        <f t="shared" si="5"/>
        <v>0</v>
      </c>
      <c r="F13" s="24">
        <f t="shared" si="6"/>
        <v>0</v>
      </c>
      <c r="G13" s="24">
        <f t="shared" si="7"/>
        <v>0</v>
      </c>
      <c r="H13" s="4"/>
      <c r="I13" s="4"/>
      <c r="J13" s="4"/>
      <c r="K13" s="4"/>
      <c r="L13" s="4"/>
      <c r="M13" s="4"/>
      <c r="N13" s="4" t="str">
        <f t="shared" si="8"/>
        <v>Darley Tomaz</v>
      </c>
      <c r="O13" s="10"/>
      <c r="P13" s="10"/>
      <c r="Q13" s="10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9">
        <v>5.0</v>
      </c>
      <c r="B14" s="4" t="s">
        <v>31</v>
      </c>
      <c r="C14" s="4" t="s">
        <v>121</v>
      </c>
      <c r="D14" s="4" t="s">
        <v>121</v>
      </c>
      <c r="E14" s="24">
        <f t="shared" si="5"/>
        <v>1</v>
      </c>
      <c r="F14" s="24">
        <f t="shared" si="6"/>
        <v>0</v>
      </c>
      <c r="G14" s="24">
        <f t="shared" si="7"/>
        <v>1</v>
      </c>
      <c r="H14" s="4"/>
      <c r="I14" s="11"/>
      <c r="J14" s="11"/>
      <c r="K14" s="11"/>
      <c r="L14" s="11"/>
      <c r="M14" s="11"/>
      <c r="N14" s="11"/>
      <c r="O14" s="11"/>
      <c r="P14" s="11"/>
      <c r="Q14" s="11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9">
        <v>6.0</v>
      </c>
      <c r="B15" s="4" t="s">
        <v>38</v>
      </c>
      <c r="C15" s="4" t="s">
        <v>121</v>
      </c>
      <c r="D15" s="4" t="s">
        <v>121</v>
      </c>
      <c r="E15" s="24">
        <f t="shared" si="5"/>
        <v>0</v>
      </c>
      <c r="F15" s="24">
        <f t="shared" si="6"/>
        <v>0</v>
      </c>
      <c r="G15" s="24">
        <f t="shared" si="7"/>
        <v>0</v>
      </c>
      <c r="H15" s="4"/>
      <c r="I15" s="4" t="s">
        <v>230</v>
      </c>
      <c r="J15" s="4"/>
      <c r="K15" s="4"/>
      <c r="L15" s="4"/>
      <c r="M15" s="4"/>
      <c r="N15" s="14"/>
      <c r="O15" s="4" t="s">
        <v>87</v>
      </c>
      <c r="P15" s="4" t="s">
        <v>88</v>
      </c>
      <c r="Q15" s="4" t="s">
        <v>89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9">
        <v>7.0</v>
      </c>
      <c r="B16" s="4" t="s">
        <v>42</v>
      </c>
      <c r="C16" s="4" t="s">
        <v>121</v>
      </c>
      <c r="D16" s="4" t="s">
        <v>121</v>
      </c>
      <c r="E16" s="24">
        <f t="shared" si="5"/>
        <v>1</v>
      </c>
      <c r="F16" s="24">
        <f t="shared" si="6"/>
        <v>1</v>
      </c>
      <c r="G16" s="24">
        <f t="shared" si="7"/>
        <v>1</v>
      </c>
      <c r="H16" s="4"/>
      <c r="I16" s="4" t="s">
        <v>131</v>
      </c>
      <c r="J16" s="4"/>
      <c r="K16" s="4"/>
      <c r="L16" s="4"/>
      <c r="M16" s="4"/>
      <c r="N16" s="4" t="str">
        <f t="shared" ref="N16:N20" si="9">B10</f>
        <v>Arthur Mendes</v>
      </c>
      <c r="O16" s="10">
        <v>2.0</v>
      </c>
      <c r="P16" s="10"/>
      <c r="Q16" s="10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9">
        <v>8.0</v>
      </c>
      <c r="B17" s="4" t="s">
        <v>47</v>
      </c>
      <c r="C17" s="4" t="s">
        <v>121</v>
      </c>
      <c r="D17" s="4" t="s">
        <v>121</v>
      </c>
      <c r="E17" s="24">
        <f t="shared" si="5"/>
        <v>1</v>
      </c>
      <c r="F17" s="24">
        <f t="shared" si="6"/>
        <v>1</v>
      </c>
      <c r="G17" s="24">
        <f t="shared" si="7"/>
        <v>0</v>
      </c>
      <c r="H17" s="4"/>
      <c r="I17" s="4" t="s">
        <v>105</v>
      </c>
      <c r="J17" s="4">
        <v>4.0</v>
      </c>
      <c r="K17" s="4">
        <v>1.0</v>
      </c>
      <c r="L17" s="4" t="s">
        <v>231</v>
      </c>
      <c r="M17" s="4"/>
      <c r="N17" s="4" t="str">
        <f t="shared" si="9"/>
        <v>Caio Scofield</v>
      </c>
      <c r="O17" s="10"/>
      <c r="P17" s="10"/>
      <c r="Q17" s="10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9">
        <v>9.0</v>
      </c>
      <c r="B18" s="4" t="s">
        <v>49</v>
      </c>
      <c r="C18" s="4" t="s">
        <v>121</v>
      </c>
      <c r="D18" s="4" t="s">
        <v>121</v>
      </c>
      <c r="E18" s="24">
        <f t="shared" si="5"/>
        <v>5</v>
      </c>
      <c r="F18" s="24">
        <f t="shared" si="6"/>
        <v>1</v>
      </c>
      <c r="G18" s="24">
        <f t="shared" si="7"/>
        <v>0</v>
      </c>
      <c r="H18" s="4"/>
      <c r="I18" s="4"/>
      <c r="J18" s="4"/>
      <c r="K18" s="4"/>
      <c r="L18" s="4"/>
      <c r="M18" s="4"/>
      <c r="N18" s="4" t="str">
        <f t="shared" si="9"/>
        <v>Guilherme Kuster</v>
      </c>
      <c r="O18" s="10">
        <v>1.0</v>
      </c>
      <c r="P18" s="10">
        <v>2.0</v>
      </c>
      <c r="Q18" s="10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9">
        <v>10.0</v>
      </c>
      <c r="B19" s="4" t="s">
        <v>51</v>
      </c>
      <c r="C19" s="4" t="s">
        <v>121</v>
      </c>
      <c r="D19" s="4" t="s">
        <v>121</v>
      </c>
      <c r="E19" s="24">
        <f t="shared" si="5"/>
        <v>2</v>
      </c>
      <c r="F19" s="24">
        <f t="shared" si="6"/>
        <v>0</v>
      </c>
      <c r="G19" s="24">
        <f t="shared" si="7"/>
        <v>0</v>
      </c>
      <c r="H19" s="4"/>
      <c r="I19" s="4"/>
      <c r="J19" s="4"/>
      <c r="K19" s="4"/>
      <c r="L19" s="4"/>
      <c r="M19" s="4"/>
      <c r="N19" s="4" t="str">
        <f t="shared" si="9"/>
        <v>Joao Barros</v>
      </c>
      <c r="O19" s="10"/>
      <c r="P19" s="10"/>
      <c r="Q19" s="10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9">
        <v>11.0</v>
      </c>
      <c r="B20" s="4" t="s">
        <v>59</v>
      </c>
      <c r="C20" s="4" t="s">
        <v>121</v>
      </c>
      <c r="D20" s="4" t="s">
        <v>121</v>
      </c>
      <c r="E20" s="24">
        <f t="shared" si="5"/>
        <v>0</v>
      </c>
      <c r="F20" s="24">
        <f t="shared" si="6"/>
        <v>1</v>
      </c>
      <c r="G20" s="24">
        <f t="shared" si="7"/>
        <v>2</v>
      </c>
      <c r="H20" s="4"/>
      <c r="I20" s="4"/>
      <c r="J20" s="4"/>
      <c r="K20" s="4"/>
      <c r="L20" s="4"/>
      <c r="M20" s="4"/>
      <c r="N20" s="4" t="str">
        <f t="shared" si="9"/>
        <v>Joao Pinto</v>
      </c>
      <c r="O20" s="10"/>
      <c r="P20" s="10"/>
      <c r="Q20" s="10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9">
        <v>12.0</v>
      </c>
      <c r="B21" s="4" t="s">
        <v>63</v>
      </c>
      <c r="C21" s="4" t="s">
        <v>121</v>
      </c>
      <c r="D21" s="4" t="s">
        <v>121</v>
      </c>
      <c r="E21" s="24">
        <f t="shared" si="5"/>
        <v>3</v>
      </c>
      <c r="F21" s="24">
        <f t="shared" si="6"/>
        <v>0</v>
      </c>
      <c r="G21" s="24">
        <f t="shared" si="7"/>
        <v>0</v>
      </c>
      <c r="H21" s="4"/>
      <c r="I21" s="14"/>
      <c r="J21" s="14"/>
      <c r="K21" s="14"/>
      <c r="L21" s="14"/>
      <c r="M21" s="14"/>
      <c r="N21" s="4" t="str">
        <f t="shared" ref="N21:N23" si="10">B18</f>
        <v>Rafael Mattos</v>
      </c>
      <c r="O21" s="16"/>
      <c r="P21" s="10">
        <v>1.0</v>
      </c>
      <c r="Q21" s="16"/>
      <c r="R21" s="4"/>
      <c r="AD21" s="4"/>
    </row>
    <row r="22">
      <c r="B22" s="9" t="s">
        <v>127</v>
      </c>
      <c r="I22" s="14"/>
      <c r="J22" s="14"/>
      <c r="K22" s="14"/>
      <c r="L22" s="14"/>
      <c r="M22" s="14"/>
      <c r="N22" s="4" t="str">
        <f t="shared" si="10"/>
        <v>Ranieri Filho</v>
      </c>
      <c r="O22" s="10">
        <v>1.0</v>
      </c>
      <c r="P22" s="10"/>
      <c r="Q22" s="16"/>
    </row>
    <row r="23">
      <c r="B23" s="5" t="s">
        <v>232</v>
      </c>
      <c r="E23" s="24">
        <f t="shared" ref="E23:E27" si="11">sumif($N:$N,B23,$O:$O)</f>
        <v>2</v>
      </c>
      <c r="F23" s="24">
        <f t="shared" ref="F23:F27" si="12">sumif($N:$N,B23,$P:$P)</f>
        <v>0</v>
      </c>
      <c r="G23" s="24">
        <f t="shared" ref="G23:G27" si="13">sumif($N:$N,B23,$Q:$Q)</f>
        <v>0</v>
      </c>
      <c r="N23" s="4" t="str">
        <f t="shared" si="10"/>
        <v>Roberto Machado</v>
      </c>
    </row>
    <row r="24">
      <c r="B24" s="5" t="s">
        <v>167</v>
      </c>
      <c r="E24" s="24">
        <f t="shared" si="11"/>
        <v>2</v>
      </c>
      <c r="F24" s="24">
        <f t="shared" si="12"/>
        <v>3</v>
      </c>
      <c r="G24" s="24">
        <f t="shared" si="13"/>
        <v>0</v>
      </c>
      <c r="N24" s="4" t="str">
        <f t="shared" ref="N24:N25" si="14">B25</f>
        <v>Daniel Tedesco</v>
      </c>
      <c r="O24" s="4"/>
      <c r="P24" s="4"/>
      <c r="Q24" s="4"/>
    </row>
    <row r="25">
      <c r="B25" s="5" t="s">
        <v>124</v>
      </c>
      <c r="E25" s="24">
        <f t="shared" si="11"/>
        <v>1</v>
      </c>
      <c r="F25" s="24">
        <f t="shared" si="12"/>
        <v>0</v>
      </c>
      <c r="G25" s="24">
        <f t="shared" si="13"/>
        <v>0</v>
      </c>
      <c r="I25" s="4"/>
      <c r="N25" s="4" t="str">
        <f t="shared" si="14"/>
        <v>Darley Tomaz</v>
      </c>
    </row>
    <row r="26">
      <c r="B26" s="5" t="s">
        <v>13</v>
      </c>
      <c r="E26" s="24">
        <f t="shared" si="11"/>
        <v>0</v>
      </c>
      <c r="F26" s="24">
        <f t="shared" si="12"/>
        <v>0</v>
      </c>
      <c r="G26" s="24">
        <f t="shared" si="13"/>
        <v>0</v>
      </c>
      <c r="I26" s="11"/>
      <c r="J26" s="11"/>
      <c r="K26" s="11"/>
      <c r="L26" s="11"/>
      <c r="M26" s="11"/>
      <c r="N26" s="11"/>
      <c r="O26" s="11"/>
      <c r="P26" s="11"/>
      <c r="Q26" s="11"/>
    </row>
    <row r="27">
      <c r="B27" s="33" t="s">
        <v>202</v>
      </c>
      <c r="E27" s="24">
        <f t="shared" si="11"/>
        <v>1</v>
      </c>
      <c r="F27" s="24">
        <f t="shared" si="12"/>
        <v>0</v>
      </c>
      <c r="G27" s="24">
        <f t="shared" si="13"/>
        <v>0</v>
      </c>
      <c r="I27" s="5" t="s">
        <v>233</v>
      </c>
      <c r="N27" s="4"/>
      <c r="O27" s="4" t="s">
        <v>87</v>
      </c>
      <c r="P27" s="4" t="s">
        <v>88</v>
      </c>
      <c r="Q27" s="4" t="s">
        <v>89</v>
      </c>
    </row>
    <row r="28">
      <c r="B28" s="33"/>
      <c r="I28" s="4" t="s">
        <v>139</v>
      </c>
      <c r="N28" s="4" t="str">
        <f t="shared" ref="N28:N31" si="15">B10</f>
        <v>Arthur Mendes</v>
      </c>
      <c r="P28" s="5">
        <v>1.0</v>
      </c>
    </row>
    <row r="29">
      <c r="I29" s="5" t="s">
        <v>234</v>
      </c>
      <c r="J29" s="5">
        <v>5.0</v>
      </c>
      <c r="K29" s="5">
        <v>5.0</v>
      </c>
      <c r="L29" s="4" t="s">
        <v>105</v>
      </c>
      <c r="N29" s="4" t="str">
        <f t="shared" si="15"/>
        <v>Caio Scofield</v>
      </c>
    </row>
    <row r="30">
      <c r="B30" s="35"/>
      <c r="N30" s="4" t="str">
        <f t="shared" si="15"/>
        <v>Guilherme Kuster</v>
      </c>
      <c r="O30" s="5">
        <v>3.0</v>
      </c>
    </row>
    <row r="31">
      <c r="B31" s="35"/>
      <c r="N31" s="4" t="str">
        <f t="shared" si="15"/>
        <v>Joao Barros</v>
      </c>
    </row>
    <row r="32">
      <c r="B32" s="35"/>
      <c r="N32" s="24" t="str">
        <f>B17</f>
        <v>Rafael Franco</v>
      </c>
      <c r="O32" s="5">
        <v>1.0</v>
      </c>
      <c r="P32" s="5">
        <v>1.0</v>
      </c>
    </row>
    <row r="33">
      <c r="N33" s="24" t="str">
        <f t="shared" ref="N33:N34" si="16">B19</f>
        <v>Ranieri Filho</v>
      </c>
      <c r="O33" s="5">
        <v>1.0</v>
      </c>
    </row>
    <row r="34">
      <c r="N34" s="24" t="str">
        <f t="shared" si="16"/>
        <v>Roberto Machado</v>
      </c>
    </row>
    <row r="35">
      <c r="N35" s="24" t="str">
        <f t="shared" ref="N35:N36" si="17">B25</f>
        <v>Daniel Tedesco</v>
      </c>
      <c r="O35" s="4"/>
      <c r="P35" s="4"/>
      <c r="Q35" s="4"/>
    </row>
    <row r="36">
      <c r="I36" s="4"/>
      <c r="N36" s="24" t="str">
        <f t="shared" si="17"/>
        <v>Darley Tomaz</v>
      </c>
    </row>
    <row r="37">
      <c r="I37" s="11"/>
      <c r="J37" s="11"/>
      <c r="K37" s="11"/>
      <c r="L37" s="11"/>
      <c r="M37" s="11"/>
      <c r="N37" s="11"/>
      <c r="O37" s="11"/>
      <c r="P37" s="11"/>
      <c r="Q37" s="11"/>
    </row>
    <row r="38">
      <c r="I38" s="5" t="s">
        <v>235</v>
      </c>
      <c r="N38" s="4"/>
      <c r="O38" s="4" t="s">
        <v>87</v>
      </c>
      <c r="P38" s="4" t="s">
        <v>88</v>
      </c>
      <c r="Q38" s="4" t="s">
        <v>89</v>
      </c>
    </row>
    <row r="39">
      <c r="I39" s="4" t="s">
        <v>136</v>
      </c>
      <c r="N39" s="4" t="str">
        <f t="shared" ref="N39:N42" si="18">B10</f>
        <v>Arthur Mendes</v>
      </c>
    </row>
    <row r="40">
      <c r="I40" s="5" t="s">
        <v>213</v>
      </c>
      <c r="J40" s="5">
        <v>8.0</v>
      </c>
      <c r="K40" s="5">
        <v>7.0</v>
      </c>
      <c r="L40" s="4" t="s">
        <v>105</v>
      </c>
      <c r="N40" s="4" t="str">
        <f t="shared" si="18"/>
        <v>Caio Scofield</v>
      </c>
    </row>
    <row r="41">
      <c r="N41" s="4" t="str">
        <f t="shared" si="18"/>
        <v>Guilherme Kuster</v>
      </c>
      <c r="O41" s="5">
        <v>4.0</v>
      </c>
    </row>
    <row r="42">
      <c r="N42" s="4" t="str">
        <f t="shared" si="18"/>
        <v>Joao Barros</v>
      </c>
    </row>
    <row r="43">
      <c r="N43" s="24" t="str">
        <f t="shared" ref="N43:N44" si="19">B17</f>
        <v>Rafael Franco</v>
      </c>
    </row>
    <row r="44">
      <c r="N44" s="24" t="str">
        <f t="shared" si="19"/>
        <v>Rafael Mattos</v>
      </c>
    </row>
    <row r="45">
      <c r="N45" s="24" t="str">
        <f t="shared" ref="N45:N46" si="20">B20</f>
        <v>Roberto Machado</v>
      </c>
    </row>
    <row r="46">
      <c r="N46" s="24" t="str">
        <f t="shared" si="20"/>
        <v>Sergio Filho</v>
      </c>
      <c r="O46" s="5">
        <v>1.0</v>
      </c>
      <c r="P46" s="4"/>
      <c r="Q46" s="4"/>
    </row>
    <row r="47">
      <c r="I47" s="4"/>
      <c r="N47" s="24" t="str">
        <f t="shared" ref="N47:N48" si="21">B26</f>
        <v>Darley Tomaz</v>
      </c>
      <c r="O47" s="5"/>
    </row>
    <row r="48">
      <c r="I48" s="4"/>
      <c r="N48" s="35" t="str">
        <f t="shared" si="21"/>
        <v>Rodrigo</v>
      </c>
      <c r="O48" s="5">
        <v>1.0</v>
      </c>
    </row>
    <row r="49">
      <c r="I49" s="11"/>
      <c r="J49" s="11"/>
      <c r="K49" s="11"/>
      <c r="L49" s="11"/>
      <c r="M49" s="11"/>
      <c r="N49" s="11"/>
      <c r="O49" s="11"/>
      <c r="P49" s="11"/>
      <c r="Q49" s="11"/>
    </row>
    <row r="50">
      <c r="I50" s="5" t="s">
        <v>236</v>
      </c>
      <c r="O50" s="4" t="s">
        <v>87</v>
      </c>
      <c r="P50" s="4" t="s">
        <v>88</v>
      </c>
      <c r="Q50" s="4" t="s">
        <v>89</v>
      </c>
    </row>
    <row r="51">
      <c r="I51" s="4" t="s">
        <v>139</v>
      </c>
      <c r="N51" s="24" t="str">
        <f t="shared" ref="N51:N52" si="22">B12</f>
        <v>Guilherme Kuster</v>
      </c>
      <c r="Q51" s="5">
        <v>1.0</v>
      </c>
    </row>
    <row r="52">
      <c r="I52" s="5" t="s">
        <v>185</v>
      </c>
      <c r="J52" s="5">
        <v>4.0</v>
      </c>
      <c r="K52" s="5">
        <v>3.0</v>
      </c>
      <c r="L52" s="4" t="s">
        <v>105</v>
      </c>
      <c r="N52" s="24" t="str">
        <f t="shared" si="22"/>
        <v>Joao Barros</v>
      </c>
    </row>
    <row r="53">
      <c r="N53" s="24" t="str">
        <f t="shared" ref="N53:N57" si="23">B16</f>
        <v>Pablo Rodrigues</v>
      </c>
      <c r="O53" s="5">
        <v>1.0</v>
      </c>
      <c r="Q53" s="5">
        <v>1.0</v>
      </c>
    </row>
    <row r="54">
      <c r="N54" s="24" t="str">
        <f t="shared" si="23"/>
        <v>Rafael Franco</v>
      </c>
    </row>
    <row r="55">
      <c r="N55" s="24" t="str">
        <f t="shared" si="23"/>
        <v>Rafael Mattos</v>
      </c>
    </row>
    <row r="56">
      <c r="N56" s="24" t="str">
        <f t="shared" si="23"/>
        <v>Ranieri Filho</v>
      </c>
    </row>
    <row r="57">
      <c r="N57" s="24" t="str">
        <f t="shared" si="23"/>
        <v>Roberto Machado</v>
      </c>
      <c r="Q57" s="5">
        <v>1.0</v>
      </c>
    </row>
    <row r="58">
      <c r="N58" s="33" t="str">
        <f>B23</f>
        <v>Chase</v>
      </c>
      <c r="O58" s="5">
        <v>2.0</v>
      </c>
    </row>
    <row r="59">
      <c r="I59" s="11"/>
      <c r="J59" s="11"/>
      <c r="K59" s="11"/>
      <c r="L59" s="11"/>
      <c r="M59" s="11"/>
      <c r="N59" s="11"/>
      <c r="O59" s="11"/>
      <c r="P59" s="11"/>
      <c r="Q59" s="11"/>
    </row>
    <row r="60">
      <c r="I60" s="5" t="s">
        <v>237</v>
      </c>
      <c r="O60" s="4" t="s">
        <v>87</v>
      </c>
      <c r="P60" s="4" t="s">
        <v>88</v>
      </c>
      <c r="Q60" s="4" t="s">
        <v>89</v>
      </c>
    </row>
    <row r="61">
      <c r="I61" s="4" t="s">
        <v>102</v>
      </c>
      <c r="N61" s="24" t="str">
        <f t="shared" ref="N61:N64" si="24">B10</f>
        <v>Arthur Mendes</v>
      </c>
      <c r="O61" s="5"/>
      <c r="P61" s="5">
        <v>1.0</v>
      </c>
      <c r="Q61" s="5"/>
    </row>
    <row r="62">
      <c r="I62" s="4" t="s">
        <v>105</v>
      </c>
      <c r="J62" s="5">
        <v>7.0</v>
      </c>
      <c r="K62" s="5">
        <v>7.0</v>
      </c>
      <c r="L62" s="5" t="s">
        <v>144</v>
      </c>
      <c r="N62" s="24" t="str">
        <f t="shared" si="24"/>
        <v>Caio Scofield</v>
      </c>
      <c r="O62" s="5"/>
      <c r="P62" s="5"/>
      <c r="Q62" s="5"/>
    </row>
    <row r="63">
      <c r="I63" s="4"/>
      <c r="N63" s="24" t="str">
        <f t="shared" si="24"/>
        <v>Guilherme Kuster</v>
      </c>
      <c r="O63" s="5">
        <v>3.0</v>
      </c>
      <c r="P63" s="5">
        <v>1.0</v>
      </c>
      <c r="Q63" s="5"/>
    </row>
    <row r="64">
      <c r="N64" s="24" t="str">
        <f t="shared" si="24"/>
        <v>Joao Barros</v>
      </c>
      <c r="O64" s="5"/>
      <c r="P64" s="5"/>
      <c r="Q64" s="5"/>
    </row>
    <row r="65">
      <c r="N65" s="24" t="str">
        <f>B16</f>
        <v>Pablo Rodrigues</v>
      </c>
      <c r="O65" s="5"/>
      <c r="P65" s="5"/>
      <c r="Q65" s="5"/>
    </row>
    <row r="66">
      <c r="N66" s="24" t="str">
        <f>B18</f>
        <v>Rafael Mattos</v>
      </c>
      <c r="O66" s="5">
        <v>3.0</v>
      </c>
      <c r="P66" s="5"/>
      <c r="Q66" s="5"/>
    </row>
    <row r="67">
      <c r="N67" s="24" t="str">
        <f t="shared" ref="N67:N68" si="25">B20</f>
        <v>Roberto Machado</v>
      </c>
      <c r="O67" s="5"/>
      <c r="P67" s="5"/>
      <c r="Q67" s="5"/>
    </row>
    <row r="68">
      <c r="N68" s="24" t="str">
        <f t="shared" si="25"/>
        <v>Sergio Filho</v>
      </c>
      <c r="O68" s="5"/>
      <c r="P68" s="5"/>
      <c r="Q68" s="5"/>
    </row>
    <row r="69">
      <c r="N69" s="24" t="str">
        <f>B24</f>
        <v>Cleiton</v>
      </c>
      <c r="O69" s="5">
        <v>1.0</v>
      </c>
      <c r="P69" s="5">
        <v>3.0</v>
      </c>
      <c r="Q69" s="5"/>
    </row>
    <row r="70">
      <c r="I70" s="11"/>
      <c r="J70" s="11"/>
      <c r="K70" s="11"/>
      <c r="L70" s="11"/>
      <c r="M70" s="11"/>
      <c r="N70" s="11"/>
      <c r="O70" s="11"/>
      <c r="P70" s="11"/>
      <c r="Q70" s="11"/>
    </row>
    <row r="71">
      <c r="I71" s="5" t="s">
        <v>238</v>
      </c>
      <c r="O71" s="4" t="s">
        <v>87</v>
      </c>
      <c r="P71" s="4" t="s">
        <v>88</v>
      </c>
      <c r="Q71" s="4" t="s">
        <v>89</v>
      </c>
    </row>
    <row r="72">
      <c r="I72" s="4" t="s">
        <v>102</v>
      </c>
      <c r="N72" s="24" t="str">
        <f t="shared" ref="N72:N75" si="26">N61</f>
        <v>Arthur Mendes</v>
      </c>
      <c r="O72" s="5">
        <v>1.0</v>
      </c>
      <c r="P72" s="5"/>
      <c r="Q72" s="5"/>
    </row>
    <row r="73">
      <c r="I73" s="4" t="s">
        <v>105</v>
      </c>
      <c r="L73" s="5" t="s">
        <v>213</v>
      </c>
      <c r="N73" s="24" t="str">
        <f t="shared" si="26"/>
        <v>Caio Scofield</v>
      </c>
      <c r="O73" s="5"/>
      <c r="P73" s="5"/>
      <c r="Q73" s="5"/>
    </row>
    <row r="74">
      <c r="I74" s="4"/>
      <c r="N74" s="24" t="str">
        <f t="shared" si="26"/>
        <v>Guilherme Kuster</v>
      </c>
      <c r="O74" s="5">
        <v>1.0</v>
      </c>
      <c r="P74" s="5"/>
      <c r="Q74" s="5"/>
    </row>
    <row r="75">
      <c r="N75" s="24" t="str">
        <f t="shared" si="26"/>
        <v>Joao Barros</v>
      </c>
      <c r="O75" s="5"/>
      <c r="P75" s="5"/>
      <c r="Q75" s="5"/>
    </row>
    <row r="76">
      <c r="N76" s="24" t="str">
        <f>B14</f>
        <v>Joao Pinto</v>
      </c>
      <c r="O76" s="5">
        <v>1.0</v>
      </c>
      <c r="P76" s="5"/>
      <c r="Q76" s="5">
        <v>1.0</v>
      </c>
    </row>
    <row r="77">
      <c r="N77" s="24" t="str">
        <f t="shared" ref="N77:N81" si="27">N65</f>
        <v>Pablo Rodrigues</v>
      </c>
      <c r="O77" s="5"/>
      <c r="P77" s="5">
        <v>1.0</v>
      </c>
      <c r="Q77" s="5"/>
    </row>
    <row r="78">
      <c r="N78" s="24" t="str">
        <f t="shared" si="27"/>
        <v>Rafael Mattos</v>
      </c>
      <c r="O78" s="5"/>
      <c r="P78" s="5"/>
      <c r="Q78" s="5"/>
    </row>
    <row r="79">
      <c r="N79" s="24" t="str">
        <f t="shared" si="27"/>
        <v>Roberto Machado</v>
      </c>
      <c r="O79" s="5"/>
      <c r="P79" s="5"/>
      <c r="Q79" s="5"/>
    </row>
    <row r="80">
      <c r="N80" s="24" t="str">
        <f t="shared" si="27"/>
        <v>Sergio Filho</v>
      </c>
      <c r="O80" s="5"/>
      <c r="P80" s="5"/>
      <c r="Q80" s="5"/>
    </row>
    <row r="81">
      <c r="N81" s="24" t="str">
        <f t="shared" si="27"/>
        <v>Cleiton</v>
      </c>
      <c r="O81" s="5">
        <v>1.0</v>
      </c>
      <c r="P81" s="5"/>
      <c r="Q81" s="5"/>
    </row>
    <row r="82">
      <c r="I82" s="11"/>
      <c r="J82" s="11"/>
      <c r="K82" s="11"/>
      <c r="L82" s="11"/>
      <c r="M82" s="11"/>
      <c r="N82" s="11"/>
      <c r="O82" s="11"/>
      <c r="P82" s="11"/>
      <c r="Q82" s="11"/>
    </row>
  </sheetData>
  <hyperlinks>
    <hyperlink r:id="rId1" location="/online/arenasports/teams/204188" ref="S3"/>
    <hyperlink r:id="rId2" location="/online/arenasports/teams/204185" ref="S4"/>
    <hyperlink r:id="rId3" location="/online/arenasports/teams/204187" ref="S5"/>
    <hyperlink r:id="rId4" location="/online/arenasports/teams/204184" ref="S6"/>
    <hyperlink r:id="rId5" location="/online/arenasports/teams/204186" ref="S7"/>
    <hyperlink r:id="rId6" location="/online/arenasports/teams/204189" ref="S8"/>
  </hyperlinks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13"/>
    <col customWidth="1" min="2" max="2" width="18.75"/>
    <col customWidth="1" hidden="1" min="3" max="4" width="11.13"/>
    <col customWidth="1" min="5" max="8" width="11.13"/>
    <col customWidth="1" min="9" max="9" width="18.75"/>
    <col customWidth="1" min="10" max="10" width="1.88"/>
    <col customWidth="1" min="11" max="11" width="2.75"/>
    <col customWidth="1" min="12" max="13" width="11.13"/>
    <col customWidth="1" min="14" max="14" width="14.25"/>
    <col customWidth="1" min="15" max="17" width="11.13"/>
    <col customWidth="1" min="18" max="18" width="4.63"/>
    <col customWidth="1" min="19" max="19" width="27.38"/>
    <col customWidth="1" min="20" max="29" width="8.25"/>
    <col customWidth="1" min="30" max="30" width="4.63"/>
  </cols>
  <sheetData>
    <row r="1">
      <c r="A1" s="9" t="s">
        <v>82</v>
      </c>
      <c r="B1" s="10" t="s">
        <v>239</v>
      </c>
      <c r="C1" s="10"/>
      <c r="D1" s="10"/>
      <c r="E1" s="10"/>
      <c r="F1" s="10"/>
      <c r="G1" s="10"/>
      <c r="H1" s="10"/>
      <c r="I1" s="11"/>
      <c r="J1" s="11"/>
      <c r="K1" s="11"/>
      <c r="L1" s="11"/>
      <c r="M1" s="11"/>
      <c r="N1" s="11"/>
      <c r="O1" s="11"/>
      <c r="P1" s="11"/>
      <c r="Q1" s="11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>
      <c r="A2" s="9" t="s">
        <v>84</v>
      </c>
      <c r="B2" s="10" t="s">
        <v>85</v>
      </c>
      <c r="C2" s="12"/>
      <c r="D2" s="12"/>
      <c r="E2" s="12"/>
      <c r="F2" s="12"/>
      <c r="G2" s="12"/>
      <c r="H2" s="12"/>
      <c r="I2" s="4" t="s">
        <v>240</v>
      </c>
      <c r="J2" s="13"/>
      <c r="K2" s="14"/>
      <c r="L2" s="14"/>
      <c r="M2" s="14"/>
      <c r="N2" s="4"/>
      <c r="O2" s="4" t="s">
        <v>87</v>
      </c>
      <c r="P2" s="4" t="s">
        <v>88</v>
      </c>
      <c r="Q2" s="4" t="s">
        <v>89</v>
      </c>
      <c r="R2" s="12"/>
      <c r="S2" s="15" t="s">
        <v>182</v>
      </c>
      <c r="T2" s="15" t="s">
        <v>91</v>
      </c>
      <c r="U2" s="15" t="s">
        <v>92</v>
      </c>
      <c r="V2" s="15" t="s">
        <v>93</v>
      </c>
      <c r="W2" s="15" t="s">
        <v>183</v>
      </c>
      <c r="X2" s="15" t="s">
        <v>95</v>
      </c>
      <c r="Y2" s="15" t="s">
        <v>96</v>
      </c>
      <c r="Z2" s="15" t="s">
        <v>97</v>
      </c>
      <c r="AA2" s="15" t="s">
        <v>98</v>
      </c>
      <c r="AB2" s="15" t="s">
        <v>99</v>
      </c>
      <c r="AC2" s="12"/>
      <c r="AD2" s="12"/>
    </row>
    <row r="3">
      <c r="A3" s="9" t="s">
        <v>100</v>
      </c>
      <c r="B3" s="10" t="s">
        <v>101</v>
      </c>
      <c r="C3" s="10"/>
      <c r="D3" s="10"/>
      <c r="E3" s="10"/>
      <c r="F3" s="10"/>
      <c r="G3" s="10"/>
      <c r="H3" s="10"/>
      <c r="I3" s="4" t="s">
        <v>139</v>
      </c>
      <c r="J3" s="14"/>
      <c r="K3" s="14"/>
      <c r="L3" s="14"/>
      <c r="M3" s="14"/>
      <c r="N3" s="4" t="str">
        <f>B11</f>
        <v>Guilherme Kuster</v>
      </c>
      <c r="O3" s="16"/>
      <c r="P3" s="16"/>
      <c r="Q3" s="16"/>
      <c r="R3" s="10"/>
      <c r="S3" s="37" t="s">
        <v>241</v>
      </c>
      <c r="T3" s="18">
        <v>7.0</v>
      </c>
      <c r="U3" s="18">
        <v>0.0</v>
      </c>
      <c r="V3" s="18">
        <v>0.0</v>
      </c>
      <c r="W3" s="18">
        <f t="shared" ref="W3:W8" si="1">T3*3+V3*1</f>
        <v>21</v>
      </c>
      <c r="X3" s="18">
        <v>31.0</v>
      </c>
      <c r="Y3" s="18">
        <v>14.0</v>
      </c>
      <c r="Z3" s="18">
        <f t="shared" ref="Z3:Z8" si="2">X3-Y3</f>
        <v>17</v>
      </c>
      <c r="AA3" s="19">
        <v>1.0</v>
      </c>
      <c r="AB3" s="18">
        <v>7.0</v>
      </c>
      <c r="AD3" s="10"/>
    </row>
    <row r="4">
      <c r="A4" s="9" t="s">
        <v>104</v>
      </c>
      <c r="B4" s="5">
        <v>7.0</v>
      </c>
      <c r="I4" s="4" t="s">
        <v>234</v>
      </c>
      <c r="J4" s="4">
        <v>3.0</v>
      </c>
      <c r="K4" s="4">
        <v>0.0</v>
      </c>
      <c r="L4" s="4" t="s">
        <v>105</v>
      </c>
      <c r="M4" s="14"/>
      <c r="N4" s="4" t="str">
        <f>B13</f>
        <v>Joao Pinto</v>
      </c>
      <c r="O4" s="16"/>
      <c r="P4" s="16"/>
      <c r="Q4" s="16"/>
      <c r="S4" s="37" t="s">
        <v>242</v>
      </c>
      <c r="T4" s="18">
        <v>4.0</v>
      </c>
      <c r="U4" s="18">
        <v>3.0</v>
      </c>
      <c r="V4" s="18">
        <v>0.0</v>
      </c>
      <c r="W4" s="18">
        <f t="shared" si="1"/>
        <v>12</v>
      </c>
      <c r="X4" s="18">
        <v>26.0</v>
      </c>
      <c r="Y4" s="18">
        <v>23.0</v>
      </c>
      <c r="Z4" s="18">
        <f t="shared" si="2"/>
        <v>3</v>
      </c>
      <c r="AA4" s="19">
        <v>0.5714</v>
      </c>
      <c r="AB4" s="18">
        <v>7.0</v>
      </c>
    </row>
    <row r="5">
      <c r="A5" s="9" t="s">
        <v>108</v>
      </c>
      <c r="B5" s="20">
        <f>1050*(1+0.0475)</f>
        <v>1099.875</v>
      </c>
      <c r="I5" s="14"/>
      <c r="J5" s="14"/>
      <c r="K5" s="14"/>
      <c r="L5" s="14"/>
      <c r="M5" s="14"/>
      <c r="N5" s="4" t="str">
        <f t="shared" ref="N5:N9" si="3">B15</f>
        <v>Pablo Rodrigues</v>
      </c>
      <c r="O5" s="16"/>
      <c r="P5" s="16"/>
      <c r="Q5" s="16"/>
      <c r="S5" s="37" t="s">
        <v>243</v>
      </c>
      <c r="T5" s="18">
        <v>3.0</v>
      </c>
      <c r="U5" s="18">
        <v>3.0</v>
      </c>
      <c r="V5" s="18">
        <v>1.0</v>
      </c>
      <c r="W5" s="18">
        <f t="shared" si="1"/>
        <v>10</v>
      </c>
      <c r="X5" s="18">
        <v>36.0</v>
      </c>
      <c r="Y5" s="18">
        <v>34.0</v>
      </c>
      <c r="Z5" s="18">
        <f t="shared" si="2"/>
        <v>2</v>
      </c>
      <c r="AA5" s="19">
        <v>0.5</v>
      </c>
      <c r="AB5" s="18">
        <v>7.0</v>
      </c>
    </row>
    <row r="6">
      <c r="A6" s="9" t="s">
        <v>110</v>
      </c>
      <c r="B6" s="22">
        <v>45482.0</v>
      </c>
      <c r="I6" s="14"/>
      <c r="J6" s="14"/>
      <c r="K6" s="14"/>
      <c r="L6" s="14"/>
      <c r="M6" s="14"/>
      <c r="N6" s="4" t="str">
        <f t="shared" si="3"/>
        <v>Rafael Franco</v>
      </c>
      <c r="O6" s="16"/>
      <c r="P6" s="16"/>
      <c r="Q6" s="16"/>
      <c r="S6" s="37" t="s">
        <v>244</v>
      </c>
      <c r="T6" s="18">
        <v>2.0</v>
      </c>
      <c r="U6" s="18">
        <v>3.0</v>
      </c>
      <c r="V6" s="18">
        <v>2.0</v>
      </c>
      <c r="W6" s="18">
        <f t="shared" si="1"/>
        <v>8</v>
      </c>
      <c r="X6" s="18">
        <v>27.0</v>
      </c>
      <c r="Y6" s="18">
        <v>28.0</v>
      </c>
      <c r="Z6" s="18">
        <f t="shared" si="2"/>
        <v>-1</v>
      </c>
      <c r="AA6" s="19">
        <v>0.4286</v>
      </c>
      <c r="AB6" s="18">
        <v>7.0</v>
      </c>
    </row>
    <row r="7">
      <c r="I7" s="14"/>
      <c r="J7" s="14"/>
      <c r="K7" s="14"/>
      <c r="L7" s="14"/>
      <c r="M7" s="14"/>
      <c r="N7" s="4" t="str">
        <f t="shared" si="3"/>
        <v>Rafael Mattos</v>
      </c>
      <c r="O7" s="16"/>
      <c r="P7" s="16"/>
      <c r="Q7" s="16"/>
      <c r="S7" s="37" t="s">
        <v>245</v>
      </c>
      <c r="T7" s="18">
        <v>2.0</v>
      </c>
      <c r="U7" s="18">
        <v>4.0</v>
      </c>
      <c r="V7" s="18">
        <v>1.0</v>
      </c>
      <c r="W7" s="18">
        <f t="shared" si="1"/>
        <v>7</v>
      </c>
      <c r="X7" s="18">
        <v>32.0</v>
      </c>
      <c r="Y7" s="18">
        <v>41.0</v>
      </c>
      <c r="Z7" s="18">
        <f t="shared" si="2"/>
        <v>-9</v>
      </c>
      <c r="AA7" s="19">
        <v>0.3571</v>
      </c>
      <c r="AB7" s="18">
        <v>7.0</v>
      </c>
    </row>
    <row r="8">
      <c r="I8" s="14"/>
      <c r="J8" s="14"/>
      <c r="K8" s="14"/>
      <c r="L8" s="14"/>
      <c r="M8" s="14"/>
      <c r="N8" s="4" t="str">
        <f t="shared" si="3"/>
        <v>Ranieri Filho</v>
      </c>
      <c r="O8" s="16"/>
      <c r="P8" s="16"/>
      <c r="Q8" s="16"/>
      <c r="S8" s="37" t="s">
        <v>246</v>
      </c>
      <c r="T8" s="18">
        <v>0.0</v>
      </c>
      <c r="U8" s="18">
        <v>5.0</v>
      </c>
      <c r="V8" s="18">
        <v>2.0</v>
      </c>
      <c r="W8" s="18">
        <f t="shared" si="1"/>
        <v>2</v>
      </c>
      <c r="X8" s="18">
        <v>23.0</v>
      </c>
      <c r="Y8" s="18">
        <v>35.0</v>
      </c>
      <c r="Z8" s="18">
        <f t="shared" si="2"/>
        <v>-12</v>
      </c>
      <c r="AA8" s="19">
        <v>0.1429</v>
      </c>
      <c r="AB8" s="18">
        <v>7.0</v>
      </c>
    </row>
    <row r="9">
      <c r="A9" s="25"/>
      <c r="B9" s="9" t="s">
        <v>114</v>
      </c>
      <c r="C9" s="9" t="s">
        <v>228</v>
      </c>
      <c r="D9" s="9" t="s">
        <v>116</v>
      </c>
      <c r="E9" s="9" t="s">
        <v>117</v>
      </c>
      <c r="F9" s="9" t="s">
        <v>118</v>
      </c>
      <c r="G9" s="9" t="s">
        <v>119</v>
      </c>
      <c r="H9" s="9"/>
      <c r="I9" s="14"/>
      <c r="J9" s="14"/>
      <c r="K9" s="14"/>
      <c r="L9" s="14"/>
      <c r="M9" s="14"/>
      <c r="N9" s="4" t="str">
        <f t="shared" si="3"/>
        <v>Roberto Machado</v>
      </c>
      <c r="O9" s="16"/>
      <c r="P9" s="10"/>
      <c r="Q9" s="10">
        <v>1.0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>
      <c r="A10" s="9">
        <v>1.0</v>
      </c>
      <c r="B10" s="4" t="s">
        <v>123</v>
      </c>
      <c r="C10" s="4" t="s">
        <v>121</v>
      </c>
      <c r="D10" s="4" t="s">
        <v>121</v>
      </c>
      <c r="E10" s="24">
        <f t="shared" ref="E10:E20" si="4">sumif($N:$N,B10,$O:$O)</f>
        <v>0</v>
      </c>
      <c r="F10" s="24">
        <f t="shared" ref="F10:F20" si="5">sumif($N:$N,B10,$P:$P)</f>
        <v>1</v>
      </c>
      <c r="G10" s="24">
        <f t="shared" ref="G10:G20" si="6">sumif($N:$N,B10,$Q:$Q)</f>
        <v>0</v>
      </c>
      <c r="H10" s="4"/>
      <c r="I10" s="14"/>
      <c r="J10" s="14"/>
      <c r="K10" s="14"/>
      <c r="L10" s="14"/>
      <c r="M10" s="14"/>
      <c r="N10" s="4" t="str">
        <f t="shared" ref="N10:N11" si="7">B23</f>
        <v>Cleiton do Cavaco</v>
      </c>
      <c r="O10" s="16"/>
      <c r="P10" s="16"/>
      <c r="Q10" s="16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9">
        <v>2.0</v>
      </c>
      <c r="B11" s="4" t="s">
        <v>17</v>
      </c>
      <c r="C11" s="4" t="s">
        <v>121</v>
      </c>
      <c r="D11" s="4" t="s">
        <v>121</v>
      </c>
      <c r="E11" s="24">
        <f t="shared" si="4"/>
        <v>2</v>
      </c>
      <c r="F11" s="24">
        <f t="shared" si="5"/>
        <v>0</v>
      </c>
      <c r="G11" s="24">
        <f t="shared" si="6"/>
        <v>0</v>
      </c>
      <c r="H11" s="4"/>
      <c r="I11" s="30"/>
      <c r="J11" s="30"/>
      <c r="K11" s="30"/>
      <c r="L11" s="30"/>
      <c r="M11" s="30"/>
      <c r="N11" s="38" t="str">
        <f t="shared" si="7"/>
        <v>Daniel Tedesco</v>
      </c>
      <c r="O11" s="16"/>
      <c r="P11" s="16"/>
      <c r="Q11" s="16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9">
        <v>3.0</v>
      </c>
      <c r="B12" s="4" t="s">
        <v>29</v>
      </c>
      <c r="C12" s="4" t="s">
        <v>121</v>
      </c>
      <c r="D12" s="4" t="s">
        <v>121</v>
      </c>
      <c r="E12" s="24">
        <f t="shared" si="4"/>
        <v>1</v>
      </c>
      <c r="F12" s="24">
        <f t="shared" si="5"/>
        <v>1</v>
      </c>
      <c r="G12" s="24">
        <f t="shared" si="6"/>
        <v>0</v>
      </c>
      <c r="H12" s="4"/>
      <c r="I12" s="14"/>
      <c r="J12" s="29"/>
      <c r="K12" s="14"/>
      <c r="L12" s="14"/>
      <c r="M12" s="14"/>
      <c r="N12" s="38" t="str">
        <f t="shared" ref="N12:N13" si="8">B27</f>
        <v>Matheus Waterfall</v>
      </c>
      <c r="O12" s="16"/>
      <c r="P12" s="16"/>
      <c r="Q12" s="16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9">
        <v>4.0</v>
      </c>
      <c r="B13" s="4" t="s">
        <v>31</v>
      </c>
      <c r="C13" s="4" t="s">
        <v>229</v>
      </c>
      <c r="D13" s="4" t="s">
        <v>121</v>
      </c>
      <c r="E13" s="24">
        <f t="shared" si="4"/>
        <v>2</v>
      </c>
      <c r="F13" s="24">
        <f t="shared" si="5"/>
        <v>0</v>
      </c>
      <c r="G13" s="24">
        <f t="shared" si="6"/>
        <v>0</v>
      </c>
      <c r="H13" s="4"/>
      <c r="I13" s="4"/>
      <c r="J13" s="4"/>
      <c r="K13" s="4"/>
      <c r="L13" s="4"/>
      <c r="M13" s="4"/>
      <c r="N13" s="4" t="str">
        <f t="shared" si="8"/>
        <v>Rodrigo</v>
      </c>
      <c r="O13" s="10"/>
      <c r="P13" s="10"/>
      <c r="Q13" s="10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9">
        <v>5.0</v>
      </c>
      <c r="B14" s="4" t="s">
        <v>38</v>
      </c>
      <c r="C14" s="4" t="s">
        <v>121</v>
      </c>
      <c r="D14" s="4" t="s">
        <v>121</v>
      </c>
      <c r="E14" s="24">
        <f t="shared" si="4"/>
        <v>0</v>
      </c>
      <c r="F14" s="24">
        <f t="shared" si="5"/>
        <v>0</v>
      </c>
      <c r="G14" s="24">
        <f t="shared" si="6"/>
        <v>0</v>
      </c>
      <c r="H14" s="4"/>
      <c r="I14" s="11"/>
      <c r="J14" s="11"/>
      <c r="K14" s="11"/>
      <c r="L14" s="11"/>
      <c r="M14" s="11"/>
      <c r="N14" s="11"/>
      <c r="O14" s="11"/>
      <c r="P14" s="11"/>
      <c r="Q14" s="11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9">
        <v>6.0</v>
      </c>
      <c r="B15" s="4" t="s">
        <v>42</v>
      </c>
      <c r="C15" s="4" t="s">
        <v>121</v>
      </c>
      <c r="D15" s="4" t="s">
        <v>121</v>
      </c>
      <c r="E15" s="24">
        <f t="shared" si="4"/>
        <v>0</v>
      </c>
      <c r="F15" s="24">
        <f t="shared" si="5"/>
        <v>2</v>
      </c>
      <c r="G15" s="24">
        <f t="shared" si="6"/>
        <v>1</v>
      </c>
      <c r="H15" s="4"/>
      <c r="I15" s="4" t="s">
        <v>247</v>
      </c>
      <c r="J15" s="4"/>
      <c r="K15" s="4"/>
      <c r="L15" s="4"/>
      <c r="M15" s="4"/>
      <c r="N15" s="14"/>
      <c r="O15" s="4" t="s">
        <v>87</v>
      </c>
      <c r="P15" s="4" t="s">
        <v>88</v>
      </c>
      <c r="Q15" s="4" t="s">
        <v>89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9">
        <v>7.0</v>
      </c>
      <c r="B16" s="4" t="s">
        <v>47</v>
      </c>
      <c r="C16" s="4" t="s">
        <v>121</v>
      </c>
      <c r="D16" s="4" t="s">
        <v>121</v>
      </c>
      <c r="E16" s="24">
        <f t="shared" si="4"/>
        <v>0</v>
      </c>
      <c r="F16" s="24">
        <f t="shared" si="5"/>
        <v>0</v>
      </c>
      <c r="G16" s="24">
        <f t="shared" si="6"/>
        <v>0</v>
      </c>
      <c r="H16" s="4"/>
      <c r="I16" s="4" t="s">
        <v>102</v>
      </c>
      <c r="J16" s="4"/>
      <c r="K16" s="4"/>
      <c r="L16" s="4"/>
      <c r="M16" s="4"/>
      <c r="N16" s="4" t="str">
        <f>B13</f>
        <v>Joao Pinto</v>
      </c>
      <c r="O16" s="10">
        <v>1.0</v>
      </c>
      <c r="P16" s="10"/>
      <c r="Q16" s="10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9">
        <v>8.0</v>
      </c>
      <c r="B17" s="4" t="s">
        <v>49</v>
      </c>
      <c r="C17" s="4" t="s">
        <v>121</v>
      </c>
      <c r="D17" s="4" t="s">
        <v>121</v>
      </c>
      <c r="E17" s="24">
        <f t="shared" si="4"/>
        <v>3</v>
      </c>
      <c r="F17" s="24">
        <f t="shared" si="5"/>
        <v>1</v>
      </c>
      <c r="G17" s="24">
        <f t="shared" si="6"/>
        <v>0</v>
      </c>
      <c r="H17" s="4"/>
      <c r="I17" s="4" t="s">
        <v>105</v>
      </c>
      <c r="J17" s="4">
        <v>2.0</v>
      </c>
      <c r="K17" s="4">
        <v>2.0</v>
      </c>
      <c r="L17" s="4" t="s">
        <v>185</v>
      </c>
      <c r="M17" s="4"/>
      <c r="N17" s="4" t="str">
        <f>B15</f>
        <v>Pablo Rodrigues</v>
      </c>
      <c r="O17" s="10"/>
      <c r="P17" s="10">
        <v>2.0</v>
      </c>
      <c r="Q17" s="10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9">
        <v>9.0</v>
      </c>
      <c r="B18" s="4" t="s">
        <v>51</v>
      </c>
      <c r="C18" s="4" t="s">
        <v>121</v>
      </c>
      <c r="D18" s="4" t="s">
        <v>121</v>
      </c>
      <c r="E18" s="24">
        <f t="shared" si="4"/>
        <v>1</v>
      </c>
      <c r="F18" s="24">
        <f t="shared" si="5"/>
        <v>0</v>
      </c>
      <c r="G18" s="24">
        <f t="shared" si="6"/>
        <v>0</v>
      </c>
      <c r="H18" s="4"/>
      <c r="I18" s="4"/>
      <c r="J18" s="4"/>
      <c r="K18" s="4"/>
      <c r="L18" s="4"/>
      <c r="M18" s="4"/>
      <c r="N18" s="4" t="str">
        <f t="shared" ref="N18:N21" si="9">B17</f>
        <v>Rafael Mattos</v>
      </c>
      <c r="O18" s="10"/>
      <c r="P18" s="10"/>
      <c r="Q18" s="10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9">
        <v>10.0</v>
      </c>
      <c r="B19" s="4" t="s">
        <v>59</v>
      </c>
      <c r="C19" s="4" t="s">
        <v>121</v>
      </c>
      <c r="D19" s="4" t="s">
        <v>121</v>
      </c>
      <c r="E19" s="24">
        <f t="shared" si="4"/>
        <v>0</v>
      </c>
      <c r="F19" s="24">
        <f t="shared" si="5"/>
        <v>0</v>
      </c>
      <c r="G19" s="24">
        <f t="shared" si="6"/>
        <v>2</v>
      </c>
      <c r="H19" s="4"/>
      <c r="I19" s="4"/>
      <c r="J19" s="4"/>
      <c r="K19" s="4"/>
      <c r="L19" s="4"/>
      <c r="M19" s="4"/>
      <c r="N19" s="4" t="str">
        <f t="shared" si="9"/>
        <v>Ranieri Filho</v>
      </c>
      <c r="O19" s="10"/>
      <c r="P19" s="10"/>
      <c r="Q19" s="10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9">
        <v>11.0</v>
      </c>
      <c r="B20" s="4" t="s">
        <v>63</v>
      </c>
      <c r="C20" s="4" t="s">
        <v>121</v>
      </c>
      <c r="D20" s="4" t="s">
        <v>121</v>
      </c>
      <c r="E20" s="24">
        <f t="shared" si="4"/>
        <v>6</v>
      </c>
      <c r="F20" s="24">
        <f t="shared" si="5"/>
        <v>0</v>
      </c>
      <c r="G20" s="24">
        <f t="shared" si="6"/>
        <v>0</v>
      </c>
      <c r="H20" s="4"/>
      <c r="I20" s="4"/>
      <c r="J20" s="4"/>
      <c r="K20" s="4"/>
      <c r="L20" s="4"/>
      <c r="M20" s="4"/>
      <c r="N20" s="4" t="str">
        <f t="shared" si="9"/>
        <v>Roberto Machado</v>
      </c>
      <c r="O20" s="10"/>
      <c r="P20" s="10"/>
      <c r="Q20" s="10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B21" s="9" t="s">
        <v>127</v>
      </c>
      <c r="I21" s="14"/>
      <c r="J21" s="14"/>
      <c r="K21" s="14"/>
      <c r="L21" s="14"/>
      <c r="M21" s="14"/>
      <c r="N21" s="4" t="str">
        <f t="shared" si="9"/>
        <v>Sergio Filho</v>
      </c>
      <c r="O21" s="16"/>
      <c r="P21" s="16"/>
      <c r="Q21" s="16"/>
    </row>
    <row r="22">
      <c r="B22" s="5" t="s">
        <v>5</v>
      </c>
      <c r="E22" s="24">
        <f t="shared" ref="E22:E25" si="10">sumif($N:$N,B22,$O:$O)</f>
        <v>2</v>
      </c>
      <c r="F22" s="24">
        <f t="shared" ref="F22:F25" si="11">sumif($N:$N,B22,$P:$P)</f>
        <v>3</v>
      </c>
      <c r="G22" s="24">
        <f t="shared" ref="G22:G25" si="12">sumif($N:$N,B22,$Q:$Q)</f>
        <v>0</v>
      </c>
      <c r="I22" s="14"/>
      <c r="J22" s="14"/>
      <c r="K22" s="14"/>
      <c r="L22" s="14"/>
      <c r="M22" s="14"/>
      <c r="N22" s="39" t="str">
        <f>B24</f>
        <v>Daniel Tedesco</v>
      </c>
      <c r="O22" s="10">
        <v>1.0</v>
      </c>
      <c r="P22" s="16"/>
      <c r="Q22" s="16"/>
    </row>
    <row r="23">
      <c r="B23" s="5" t="s">
        <v>248</v>
      </c>
      <c r="E23" s="24">
        <f t="shared" si="10"/>
        <v>2</v>
      </c>
      <c r="F23" s="24">
        <f t="shared" si="11"/>
        <v>1</v>
      </c>
      <c r="G23" s="24">
        <f t="shared" si="12"/>
        <v>0</v>
      </c>
      <c r="I23" s="40"/>
      <c r="J23" s="40"/>
      <c r="K23" s="40"/>
      <c r="L23" s="40"/>
      <c r="M23" s="40"/>
      <c r="N23" s="40"/>
      <c r="O23" s="40"/>
      <c r="P23" s="40"/>
      <c r="Q23" s="40"/>
    </row>
    <row r="24">
      <c r="B24" s="33" t="s">
        <v>124</v>
      </c>
      <c r="E24" s="24">
        <f t="shared" si="10"/>
        <v>4</v>
      </c>
      <c r="F24" s="24">
        <f t="shared" si="11"/>
        <v>0</v>
      </c>
      <c r="G24" s="24">
        <f t="shared" si="12"/>
        <v>0</v>
      </c>
      <c r="I24" s="5" t="s">
        <v>249</v>
      </c>
      <c r="O24" s="4" t="s">
        <v>87</v>
      </c>
      <c r="P24" s="4" t="s">
        <v>88</v>
      </c>
      <c r="Q24" s="4" t="s">
        <v>89</v>
      </c>
    </row>
    <row r="25">
      <c r="B25" s="5" t="s">
        <v>250</v>
      </c>
      <c r="E25" s="24">
        <f t="shared" si="10"/>
        <v>0</v>
      </c>
      <c r="F25" s="24">
        <f t="shared" si="11"/>
        <v>0</v>
      </c>
      <c r="G25" s="24">
        <f t="shared" si="12"/>
        <v>0</v>
      </c>
      <c r="I25" s="4" t="s">
        <v>131</v>
      </c>
      <c r="N25" s="4" t="str">
        <f>B10</f>
        <v>Caio Scofield</v>
      </c>
    </row>
    <row r="26">
      <c r="B26" s="5" t="s">
        <v>251</v>
      </c>
      <c r="I26" s="4" t="s">
        <v>105</v>
      </c>
      <c r="J26" s="5">
        <v>3.0</v>
      </c>
      <c r="K26" s="5">
        <v>7.0</v>
      </c>
      <c r="L26" s="5" t="s">
        <v>231</v>
      </c>
      <c r="N26" s="4" t="str">
        <f t="shared" ref="N26:N27" si="13">B12</f>
        <v>Joao Barros</v>
      </c>
      <c r="O26" s="5">
        <v>1.0</v>
      </c>
    </row>
    <row r="27">
      <c r="B27" s="33" t="s">
        <v>252</v>
      </c>
      <c r="E27" s="24">
        <f t="shared" ref="E27:E28" si="14">sumif($N:$N,B27,$O:$O)</f>
        <v>0</v>
      </c>
      <c r="F27" s="24">
        <f t="shared" ref="F27:F28" si="15">sumif($N:$N,B27,$P:$P)</f>
        <v>0</v>
      </c>
      <c r="G27" s="24">
        <f t="shared" ref="G27:G28" si="16">sumif($N:$N,B27,$Q:$Q)</f>
        <v>0</v>
      </c>
      <c r="N27" s="4" t="str">
        <f t="shared" si="13"/>
        <v>Joao Pinto</v>
      </c>
    </row>
    <row r="28">
      <c r="B28" s="5" t="s">
        <v>202</v>
      </c>
      <c r="E28" s="24">
        <f t="shared" si="14"/>
        <v>0</v>
      </c>
      <c r="F28" s="24">
        <f t="shared" si="15"/>
        <v>0</v>
      </c>
      <c r="G28" s="24">
        <f t="shared" si="16"/>
        <v>0</v>
      </c>
      <c r="N28" s="4" t="str">
        <f>B15</f>
        <v>Pablo Rodrigues</v>
      </c>
    </row>
    <row r="29">
      <c r="B29" s="35"/>
      <c r="N29" s="4" t="str">
        <f t="shared" ref="N29:N31" si="17">B18</f>
        <v>Ranieri Filho</v>
      </c>
    </row>
    <row r="30">
      <c r="B30" s="35"/>
      <c r="N30" s="4" t="str">
        <f t="shared" si="17"/>
        <v>Roberto Machado</v>
      </c>
    </row>
    <row r="31">
      <c r="B31" s="35"/>
      <c r="N31" s="14" t="str">
        <f t="shared" si="17"/>
        <v>Sergio Filho</v>
      </c>
      <c r="O31" s="5">
        <v>2.0</v>
      </c>
    </row>
    <row r="32">
      <c r="N32" s="24" t="str">
        <f>B22</f>
        <v>Arthur Mendes</v>
      </c>
      <c r="P32" s="5">
        <v>1.0</v>
      </c>
    </row>
    <row r="33">
      <c r="N33" s="35" t="str">
        <f>B24</f>
        <v>Daniel Tedesco</v>
      </c>
    </row>
    <row r="34">
      <c r="I34" s="40"/>
      <c r="J34" s="40"/>
      <c r="K34" s="40"/>
      <c r="L34" s="40"/>
      <c r="M34" s="40"/>
      <c r="N34" s="40"/>
      <c r="O34" s="40"/>
      <c r="P34" s="40"/>
      <c r="Q34" s="40"/>
    </row>
    <row r="35">
      <c r="I35" s="5" t="s">
        <v>253</v>
      </c>
      <c r="O35" s="4" t="s">
        <v>87</v>
      </c>
      <c r="P35" s="4" t="s">
        <v>88</v>
      </c>
      <c r="Q35" s="4" t="s">
        <v>89</v>
      </c>
    </row>
    <row r="36">
      <c r="I36" s="4" t="s">
        <v>102</v>
      </c>
      <c r="N36" s="24" t="str">
        <f>B10</f>
        <v>Caio Scofield</v>
      </c>
      <c r="P36" s="5">
        <v>1.0</v>
      </c>
    </row>
    <row r="37">
      <c r="I37" s="4" t="s">
        <v>105</v>
      </c>
      <c r="J37" s="5">
        <v>3.0</v>
      </c>
      <c r="K37" s="5">
        <v>5.0</v>
      </c>
      <c r="L37" s="5" t="s">
        <v>234</v>
      </c>
      <c r="N37" s="24" t="str">
        <f t="shared" ref="N37:N38" si="18">B12</f>
        <v>Joao Barros</v>
      </c>
    </row>
    <row r="38">
      <c r="N38" s="24" t="str">
        <f t="shared" si="18"/>
        <v>Joao Pinto</v>
      </c>
    </row>
    <row r="39">
      <c r="N39" s="24" t="str">
        <f>B15</f>
        <v>Pablo Rodrigues</v>
      </c>
    </row>
    <row r="40">
      <c r="N40" s="24" t="str">
        <f t="shared" ref="N40:N43" si="19">B17</f>
        <v>Rafael Mattos</v>
      </c>
      <c r="O40" s="5">
        <v>1.0</v>
      </c>
      <c r="P40" s="5">
        <v>1.0</v>
      </c>
    </row>
    <row r="41">
      <c r="N41" s="24" t="str">
        <f t="shared" si="19"/>
        <v>Ranieri Filho</v>
      </c>
    </row>
    <row r="42">
      <c r="N42" s="24" t="str">
        <f t="shared" si="19"/>
        <v>Roberto Machado</v>
      </c>
    </row>
    <row r="43">
      <c r="N43" s="24" t="str">
        <f t="shared" si="19"/>
        <v>Sergio Filho</v>
      </c>
      <c r="O43" s="5">
        <v>2.0</v>
      </c>
    </row>
    <row r="44">
      <c r="N44" s="5" t="s">
        <v>250</v>
      </c>
    </row>
    <row r="45">
      <c r="I45" s="40"/>
      <c r="J45" s="40"/>
      <c r="K45" s="40"/>
      <c r="L45" s="40"/>
      <c r="M45" s="40"/>
      <c r="N45" s="40"/>
      <c r="O45" s="40"/>
      <c r="P45" s="40"/>
      <c r="Q45" s="40"/>
    </row>
    <row r="46">
      <c r="I46" s="5" t="s">
        <v>254</v>
      </c>
      <c r="O46" s="4" t="s">
        <v>87</v>
      </c>
      <c r="P46" s="4" t="s">
        <v>88</v>
      </c>
      <c r="Q46" s="4" t="s">
        <v>89</v>
      </c>
    </row>
    <row r="47">
      <c r="I47" s="4" t="s">
        <v>131</v>
      </c>
      <c r="N47" s="24" t="str">
        <f>B10</f>
        <v>Caio Scofield</v>
      </c>
    </row>
    <row r="48">
      <c r="I48" s="4" t="s">
        <v>144</v>
      </c>
      <c r="J48" s="5">
        <v>7.0</v>
      </c>
      <c r="K48" s="5">
        <v>5.0</v>
      </c>
      <c r="L48" s="5" t="s">
        <v>105</v>
      </c>
      <c r="N48" s="24" t="str">
        <f t="shared" ref="N48:N49" si="20">B12</f>
        <v>Joao Barros</v>
      </c>
    </row>
    <row r="49">
      <c r="N49" s="24" t="str">
        <f t="shared" si="20"/>
        <v>Joao Pinto</v>
      </c>
    </row>
    <row r="50">
      <c r="N50" s="24" t="str">
        <f>B15</f>
        <v>Pablo Rodrigues</v>
      </c>
      <c r="Q50" s="5">
        <v>1.0</v>
      </c>
    </row>
    <row r="51">
      <c r="N51" s="24" t="str">
        <f t="shared" ref="N51:N54" si="21">B17</f>
        <v>Rafael Mattos</v>
      </c>
      <c r="O51" s="5">
        <v>1.0</v>
      </c>
    </row>
    <row r="52">
      <c r="N52" s="24" t="str">
        <f t="shared" si="21"/>
        <v>Ranieri Filho</v>
      </c>
    </row>
    <row r="53">
      <c r="N53" s="24" t="str">
        <f t="shared" si="21"/>
        <v>Roberto Machado</v>
      </c>
      <c r="Q53" s="5">
        <v>1.0</v>
      </c>
    </row>
    <row r="54">
      <c r="N54" s="24" t="str">
        <f t="shared" si="21"/>
        <v>Sergio Filho</v>
      </c>
      <c r="O54" s="5">
        <v>2.0</v>
      </c>
    </row>
    <row r="55">
      <c r="N55" s="5" t="s">
        <v>250</v>
      </c>
    </row>
    <row r="56">
      <c r="N56" s="5" t="s">
        <v>5</v>
      </c>
      <c r="P56" s="5">
        <v>1.0</v>
      </c>
    </row>
    <row r="57">
      <c r="N57" s="5" t="s">
        <v>248</v>
      </c>
      <c r="O57" s="5">
        <v>1.0</v>
      </c>
    </row>
    <row r="58">
      <c r="N58" s="33" t="s">
        <v>124</v>
      </c>
      <c r="O58" s="5">
        <v>1.0</v>
      </c>
    </row>
    <row r="59">
      <c r="N59" s="5" t="s">
        <v>251</v>
      </c>
    </row>
    <row r="60">
      <c r="I60" s="40"/>
      <c r="J60" s="40"/>
      <c r="K60" s="40"/>
      <c r="L60" s="40"/>
      <c r="M60" s="40"/>
      <c r="N60" s="40"/>
      <c r="O60" s="40"/>
      <c r="P60" s="40"/>
      <c r="Q60" s="40"/>
    </row>
    <row r="61">
      <c r="I61" s="5" t="s">
        <v>255</v>
      </c>
      <c r="O61" s="4" t="s">
        <v>87</v>
      </c>
      <c r="P61" s="4" t="s">
        <v>88</v>
      </c>
      <c r="Q61" s="4" t="s">
        <v>89</v>
      </c>
    </row>
    <row r="62">
      <c r="I62" s="4" t="s">
        <v>131</v>
      </c>
      <c r="N62" s="24" t="str">
        <f t="shared" ref="N62:N74" si="22">N47</f>
        <v>Caio Scofield</v>
      </c>
    </row>
    <row r="63">
      <c r="I63" s="4" t="s">
        <v>185</v>
      </c>
      <c r="J63" s="5">
        <v>5.0</v>
      </c>
      <c r="K63" s="5">
        <v>5.0</v>
      </c>
      <c r="L63" s="5" t="s">
        <v>105</v>
      </c>
      <c r="N63" s="24" t="str">
        <f t="shared" si="22"/>
        <v>Joao Barros</v>
      </c>
      <c r="P63" s="5">
        <v>1.0</v>
      </c>
    </row>
    <row r="64">
      <c r="N64" s="24" t="str">
        <f t="shared" si="22"/>
        <v>Joao Pinto</v>
      </c>
      <c r="O64" s="5">
        <v>1.0</v>
      </c>
    </row>
    <row r="65">
      <c r="N65" s="24" t="str">
        <f t="shared" si="22"/>
        <v>Pablo Rodrigues</v>
      </c>
    </row>
    <row r="66">
      <c r="N66" s="24" t="str">
        <f t="shared" si="22"/>
        <v>Rafael Mattos</v>
      </c>
      <c r="O66" s="5">
        <v>1.0</v>
      </c>
    </row>
    <row r="67">
      <c r="N67" s="24" t="str">
        <f t="shared" si="22"/>
        <v>Ranieri Filho</v>
      </c>
    </row>
    <row r="68">
      <c r="N68" s="24" t="str">
        <f t="shared" si="22"/>
        <v>Roberto Machado</v>
      </c>
    </row>
    <row r="69">
      <c r="N69" s="24" t="str">
        <f t="shared" si="22"/>
        <v>Sergio Filho</v>
      </c>
    </row>
    <row r="70">
      <c r="N70" s="24" t="str">
        <f t="shared" si="22"/>
        <v>Jose</v>
      </c>
    </row>
    <row r="71">
      <c r="N71" s="24" t="str">
        <f t="shared" si="22"/>
        <v>Arthur Mendes</v>
      </c>
      <c r="O71" s="5">
        <v>1.0</v>
      </c>
    </row>
    <row r="72">
      <c r="N72" s="24" t="str">
        <f t="shared" si="22"/>
        <v>Cleiton do Cavaco</v>
      </c>
      <c r="P72" s="5">
        <v>1.0</v>
      </c>
    </row>
    <row r="73">
      <c r="N73" s="35" t="str">
        <f t="shared" si="22"/>
        <v>Daniel Tedesco</v>
      </c>
      <c r="O73" s="5">
        <v>2.0</v>
      </c>
    </row>
    <row r="74">
      <c r="N74" s="24" t="str">
        <f t="shared" si="22"/>
        <v>Marcel</v>
      </c>
    </row>
    <row r="75">
      <c r="I75" s="40"/>
      <c r="J75" s="40"/>
      <c r="K75" s="40"/>
      <c r="L75" s="40"/>
      <c r="M75" s="40"/>
      <c r="N75" s="40"/>
      <c r="O75" s="40"/>
      <c r="P75" s="40"/>
      <c r="Q75" s="40"/>
    </row>
    <row r="76">
      <c r="I76" s="5" t="s">
        <v>256</v>
      </c>
      <c r="O76" s="4" t="s">
        <v>87</v>
      </c>
      <c r="P76" s="4" t="s">
        <v>88</v>
      </c>
      <c r="Q76" s="4" t="s">
        <v>89</v>
      </c>
    </row>
    <row r="77">
      <c r="I77" s="5" t="s">
        <v>136</v>
      </c>
    </row>
    <row r="78">
      <c r="I78" s="5" t="s">
        <v>105</v>
      </c>
      <c r="J78" s="5">
        <v>5.0</v>
      </c>
      <c r="K78" s="5">
        <v>6.0</v>
      </c>
      <c r="L78" s="5" t="s">
        <v>213</v>
      </c>
      <c r="N78" s="24" t="str">
        <f t="shared" ref="N78:N81" si="23">B10</f>
        <v>Caio Scofield</v>
      </c>
    </row>
    <row r="79">
      <c r="N79" s="24" t="str">
        <f t="shared" si="23"/>
        <v>Guilherme Kuster</v>
      </c>
      <c r="O79" s="5">
        <v>2.0</v>
      </c>
    </row>
    <row r="80">
      <c r="N80" s="24" t="str">
        <f t="shared" si="23"/>
        <v>Joao Barros</v>
      </c>
    </row>
    <row r="81">
      <c r="N81" s="24" t="str">
        <f t="shared" si="23"/>
        <v>Joao Pinto</v>
      </c>
    </row>
    <row r="82">
      <c r="N82" s="24" t="str">
        <f t="shared" ref="N82:N83" si="24">B18</f>
        <v>Ranieri Filho</v>
      </c>
      <c r="O82" s="5">
        <v>1.0</v>
      </c>
    </row>
    <row r="83">
      <c r="N83" s="24" t="str">
        <f t="shared" si="24"/>
        <v>Roberto Machado</v>
      </c>
    </row>
    <row r="84">
      <c r="N84" s="24" t="str">
        <f t="shared" ref="N84:N86" si="25">B22</f>
        <v>Arthur Mendes</v>
      </c>
      <c r="O84" s="5">
        <v>1.0</v>
      </c>
      <c r="P84" s="5">
        <v>1.0</v>
      </c>
    </row>
    <row r="85">
      <c r="N85" s="24" t="str">
        <f t="shared" si="25"/>
        <v>Cleiton do Cavaco</v>
      </c>
      <c r="O85" s="5">
        <v>1.0</v>
      </c>
    </row>
    <row r="86">
      <c r="N86" s="35" t="str">
        <f t="shared" si="25"/>
        <v>Daniel Tedesco</v>
      </c>
    </row>
    <row r="87">
      <c r="I87" s="40"/>
      <c r="J87" s="40"/>
      <c r="K87" s="40"/>
      <c r="L87" s="40"/>
      <c r="M87" s="40"/>
      <c r="N87" s="40"/>
      <c r="O87" s="40"/>
      <c r="P87" s="40"/>
      <c r="Q87" s="40"/>
    </row>
  </sheetData>
  <hyperlinks>
    <hyperlink r:id="rId1" location="/online/arenasports/teams/202650" ref="S3"/>
    <hyperlink r:id="rId2" location="/online/arenasports/teams/202657" ref="S4"/>
    <hyperlink r:id="rId3" location="/online/arenasports/teams/202651" ref="S5"/>
    <hyperlink r:id="rId4" location="/online/arenasports/teams/202653" ref="S6"/>
    <hyperlink r:id="rId5" location="/online/arenasports/teams/202655" ref="S7"/>
    <hyperlink r:id="rId6" location="/online/arenasports/teams/202652" ref="S8"/>
  </hyperlinks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13"/>
    <col customWidth="1" min="2" max="2" width="18.75"/>
    <col customWidth="1" hidden="1" min="3" max="3" width="11.13"/>
    <col customWidth="1" hidden="1" min="4" max="4" width="11.75"/>
    <col customWidth="1" hidden="1" min="5" max="5" width="7.38"/>
    <col customWidth="1" min="6" max="8" width="11.13"/>
    <col customWidth="1" min="9" max="9" width="16.75"/>
    <col customWidth="1" min="10" max="11" width="3.38"/>
    <col customWidth="1" min="12" max="12" width="24.63"/>
    <col customWidth="1" min="14" max="14" width="18.75"/>
    <col customWidth="1" min="18" max="18" width="34.38"/>
    <col customWidth="1" min="28" max="28" width="5.88"/>
  </cols>
  <sheetData>
    <row r="1">
      <c r="A1" s="9" t="s">
        <v>82</v>
      </c>
      <c r="B1" s="10" t="s">
        <v>83</v>
      </c>
      <c r="C1" s="10"/>
      <c r="D1" s="10"/>
      <c r="E1" s="10"/>
      <c r="F1" s="10"/>
      <c r="G1" s="10"/>
      <c r="H1" s="10"/>
      <c r="I1" s="40"/>
      <c r="J1" s="40"/>
      <c r="K1" s="40"/>
      <c r="L1" s="40"/>
      <c r="M1" s="40"/>
      <c r="N1" s="40"/>
      <c r="O1" s="40"/>
      <c r="P1" s="40"/>
    </row>
    <row r="2">
      <c r="A2" s="9" t="s">
        <v>84</v>
      </c>
      <c r="B2" s="10" t="s">
        <v>85</v>
      </c>
      <c r="C2" s="12"/>
      <c r="D2" s="12"/>
      <c r="E2" s="12"/>
      <c r="F2" s="12"/>
      <c r="G2" s="12"/>
      <c r="H2" s="12"/>
      <c r="I2" s="5" t="s">
        <v>257</v>
      </c>
      <c r="J2" s="41"/>
      <c r="R2" s="15" t="s">
        <v>182</v>
      </c>
      <c r="S2" s="15" t="s">
        <v>91</v>
      </c>
      <c r="T2" s="15" t="s">
        <v>92</v>
      </c>
      <c r="U2" s="15" t="s">
        <v>93</v>
      </c>
      <c r="V2" s="15" t="s">
        <v>183</v>
      </c>
      <c r="W2" s="15" t="s">
        <v>95</v>
      </c>
      <c r="X2" s="15" t="s">
        <v>96</v>
      </c>
      <c r="Y2" s="15" t="s">
        <v>97</v>
      </c>
      <c r="Z2" s="15" t="s">
        <v>98</v>
      </c>
      <c r="AA2" s="15" t="s">
        <v>99</v>
      </c>
      <c r="AB2" s="42"/>
    </row>
    <row r="3">
      <c r="A3" s="9" t="s">
        <v>100</v>
      </c>
      <c r="B3" s="10" t="s">
        <v>101</v>
      </c>
      <c r="C3" s="10"/>
      <c r="D3" s="10"/>
      <c r="E3" s="10"/>
      <c r="F3" s="10"/>
      <c r="G3" s="10"/>
      <c r="H3" s="10"/>
      <c r="I3" s="5" t="s">
        <v>102</v>
      </c>
      <c r="R3" s="43" t="s">
        <v>226</v>
      </c>
      <c r="S3" s="44">
        <v>9.0</v>
      </c>
      <c r="T3" s="44">
        <v>2.0</v>
      </c>
      <c r="U3" s="44">
        <v>1.0</v>
      </c>
      <c r="V3" s="45">
        <f t="shared" ref="V3:V20" si="1">S3*3+U3*1</f>
        <v>28</v>
      </c>
      <c r="W3" s="44">
        <v>62.0</v>
      </c>
      <c r="X3" s="44">
        <v>46.0</v>
      </c>
      <c r="Y3" s="44">
        <f t="shared" ref="Y3:Y20" si="2">W3-X3</f>
        <v>16</v>
      </c>
      <c r="Z3" s="46">
        <v>0.7917</v>
      </c>
      <c r="AA3" s="44">
        <f t="shared" ref="AA3:AA20" si="3">sum(S3:U3)</f>
        <v>12</v>
      </c>
      <c r="AB3" s="47"/>
    </row>
    <row r="4">
      <c r="A4" s="9" t="s">
        <v>104</v>
      </c>
      <c r="B4" s="5">
        <v>12.0</v>
      </c>
      <c r="I4" s="5" t="s">
        <v>258</v>
      </c>
      <c r="J4" s="5">
        <v>8.0</v>
      </c>
      <c r="K4" s="5">
        <v>6.0</v>
      </c>
      <c r="L4" s="5" t="s">
        <v>105</v>
      </c>
      <c r="R4" s="43" t="s">
        <v>222</v>
      </c>
      <c r="S4" s="44">
        <v>8.0</v>
      </c>
      <c r="T4" s="44">
        <v>2.0</v>
      </c>
      <c r="U4" s="44">
        <v>2.0</v>
      </c>
      <c r="V4" s="45">
        <f t="shared" si="1"/>
        <v>26</v>
      </c>
      <c r="W4" s="44">
        <v>72.0</v>
      </c>
      <c r="X4" s="44">
        <v>53.0</v>
      </c>
      <c r="Y4" s="44">
        <f t="shared" si="2"/>
        <v>19</v>
      </c>
      <c r="Z4" s="46">
        <v>0.75</v>
      </c>
      <c r="AA4" s="44">
        <f t="shared" si="3"/>
        <v>12</v>
      </c>
      <c r="AB4" s="47"/>
    </row>
    <row r="5">
      <c r="A5" s="9" t="s">
        <v>108</v>
      </c>
      <c r="B5" s="20">
        <f>1850*(1+0.0475)</f>
        <v>1937.875</v>
      </c>
      <c r="I5" s="40"/>
      <c r="J5" s="40"/>
      <c r="K5" s="40"/>
      <c r="L5" s="40"/>
      <c r="M5" s="40"/>
      <c r="N5" s="40"/>
      <c r="O5" s="40"/>
      <c r="P5" s="40"/>
      <c r="R5" s="43" t="s">
        <v>259</v>
      </c>
      <c r="S5" s="44">
        <v>8.0</v>
      </c>
      <c r="T5" s="44">
        <v>4.0</v>
      </c>
      <c r="U5" s="44">
        <v>0.0</v>
      </c>
      <c r="V5" s="45">
        <f t="shared" si="1"/>
        <v>24</v>
      </c>
      <c r="W5" s="44">
        <v>66.0</v>
      </c>
      <c r="X5" s="44">
        <v>42.0</v>
      </c>
      <c r="Y5" s="44">
        <f t="shared" si="2"/>
        <v>24</v>
      </c>
      <c r="Z5" s="46">
        <v>0.6667</v>
      </c>
      <c r="AA5" s="44">
        <f t="shared" si="3"/>
        <v>12</v>
      </c>
      <c r="AB5" s="47"/>
    </row>
    <row r="6">
      <c r="A6" s="9" t="s">
        <v>110</v>
      </c>
      <c r="B6" s="22">
        <v>44935.0</v>
      </c>
      <c r="I6" s="5" t="s">
        <v>260</v>
      </c>
      <c r="J6" s="41"/>
      <c r="R6" s="43" t="s">
        <v>223</v>
      </c>
      <c r="S6" s="44">
        <v>6.0</v>
      </c>
      <c r="T6" s="44">
        <v>4.0</v>
      </c>
      <c r="U6" s="44">
        <v>1.0</v>
      </c>
      <c r="V6" s="45">
        <f t="shared" si="1"/>
        <v>19</v>
      </c>
      <c r="W6" s="44">
        <v>74.0</v>
      </c>
      <c r="X6" s="44">
        <v>47.0</v>
      </c>
      <c r="Y6" s="44">
        <f t="shared" si="2"/>
        <v>27</v>
      </c>
      <c r="Z6" s="46">
        <v>0.5909</v>
      </c>
      <c r="AA6" s="44">
        <f t="shared" si="3"/>
        <v>11</v>
      </c>
      <c r="AB6" s="47"/>
    </row>
    <row r="7">
      <c r="I7" s="5" t="s">
        <v>139</v>
      </c>
      <c r="R7" s="43" t="s">
        <v>224</v>
      </c>
      <c r="S7" s="44">
        <v>6.0</v>
      </c>
      <c r="T7" s="44">
        <v>5.0</v>
      </c>
      <c r="U7" s="44">
        <v>1.0</v>
      </c>
      <c r="V7" s="45">
        <f t="shared" si="1"/>
        <v>19</v>
      </c>
      <c r="W7" s="44">
        <v>82.0</v>
      </c>
      <c r="X7" s="44">
        <v>73.0</v>
      </c>
      <c r="Y7" s="44">
        <f t="shared" si="2"/>
        <v>9</v>
      </c>
      <c r="Z7" s="46">
        <v>0.5417</v>
      </c>
      <c r="AA7" s="44">
        <f t="shared" si="3"/>
        <v>12</v>
      </c>
      <c r="AB7" s="47"/>
    </row>
    <row r="8">
      <c r="I8" s="5" t="s">
        <v>105</v>
      </c>
      <c r="J8" s="5">
        <v>8.0</v>
      </c>
      <c r="K8" s="5">
        <v>4.0</v>
      </c>
      <c r="L8" s="5" t="s">
        <v>261</v>
      </c>
      <c r="R8" s="43" t="s">
        <v>262</v>
      </c>
      <c r="S8" s="44">
        <v>5.0</v>
      </c>
      <c r="T8" s="44">
        <v>5.0</v>
      </c>
      <c r="U8" s="44">
        <v>2.0</v>
      </c>
      <c r="V8" s="45">
        <f t="shared" si="1"/>
        <v>17</v>
      </c>
      <c r="W8" s="44">
        <v>71.0</v>
      </c>
      <c r="X8" s="44">
        <v>79.0</v>
      </c>
      <c r="Y8" s="44">
        <f t="shared" si="2"/>
        <v>-8</v>
      </c>
      <c r="Z8" s="46">
        <v>0.5</v>
      </c>
      <c r="AA8" s="44">
        <f t="shared" si="3"/>
        <v>12</v>
      </c>
      <c r="AB8" s="47"/>
    </row>
    <row r="9">
      <c r="A9" s="25"/>
      <c r="B9" s="9" t="s">
        <v>114</v>
      </c>
      <c r="C9" s="9" t="s">
        <v>263</v>
      </c>
      <c r="D9" s="9" t="s">
        <v>264</v>
      </c>
      <c r="E9" s="9" t="s">
        <v>265</v>
      </c>
      <c r="F9" s="9" t="s">
        <v>117</v>
      </c>
      <c r="G9" s="9" t="s">
        <v>119</v>
      </c>
      <c r="H9" s="48"/>
      <c r="I9" s="40"/>
      <c r="J9" s="40"/>
      <c r="K9" s="40"/>
      <c r="L9" s="40"/>
      <c r="M9" s="40"/>
      <c r="N9" s="40"/>
      <c r="O9" s="40"/>
      <c r="P9" s="40"/>
      <c r="R9" s="43" t="s">
        <v>266</v>
      </c>
      <c r="S9" s="44">
        <v>5.0</v>
      </c>
      <c r="T9" s="44">
        <v>0.0</v>
      </c>
      <c r="U9" s="44">
        <v>0.0</v>
      </c>
      <c r="V9" s="45">
        <f t="shared" si="1"/>
        <v>15</v>
      </c>
      <c r="W9" s="44">
        <v>50.0</v>
      </c>
      <c r="X9" s="44">
        <v>20.0</v>
      </c>
      <c r="Y9" s="44">
        <f t="shared" si="2"/>
        <v>30</v>
      </c>
      <c r="Z9" s="46">
        <v>1.0</v>
      </c>
      <c r="AA9" s="44">
        <f t="shared" si="3"/>
        <v>5</v>
      </c>
      <c r="AB9" s="47"/>
    </row>
    <row r="10">
      <c r="A10" s="9">
        <v>1.0</v>
      </c>
      <c r="B10" s="4" t="s">
        <v>123</v>
      </c>
      <c r="C10" s="4" t="s">
        <v>121</v>
      </c>
      <c r="D10" s="33">
        <f t="shared" ref="D10:D21" si="4">$B$5/12</f>
        <v>161.4895833</v>
      </c>
      <c r="E10" s="5" t="s">
        <v>267</v>
      </c>
      <c r="F10" s="24">
        <f t="shared" ref="F10:F27" si="5">sumif($N:$N,B10,$O:$O)</f>
        <v>1</v>
      </c>
      <c r="G10" s="24">
        <f t="shared" ref="G10:G27" si="6">sumif($N:$N,B10,$P:$P)</f>
        <v>1</v>
      </c>
      <c r="I10" s="5" t="s">
        <v>268</v>
      </c>
      <c r="J10" s="41"/>
      <c r="N10" s="4"/>
      <c r="O10" s="5" t="s">
        <v>87</v>
      </c>
      <c r="P10" s="5" t="s">
        <v>89</v>
      </c>
      <c r="R10" s="43" t="s">
        <v>269</v>
      </c>
      <c r="S10" s="44">
        <v>2.0</v>
      </c>
      <c r="T10" s="44">
        <v>5.0</v>
      </c>
      <c r="U10" s="44">
        <v>3.0</v>
      </c>
      <c r="V10" s="45">
        <f t="shared" si="1"/>
        <v>9</v>
      </c>
      <c r="W10" s="44">
        <v>45.0</v>
      </c>
      <c r="X10" s="44">
        <v>54.0</v>
      </c>
      <c r="Y10" s="44">
        <f t="shared" si="2"/>
        <v>-9</v>
      </c>
      <c r="Z10" s="46">
        <v>0.35</v>
      </c>
      <c r="AA10" s="44">
        <f t="shared" si="3"/>
        <v>10</v>
      </c>
      <c r="AB10" s="47"/>
    </row>
    <row r="11">
      <c r="A11" s="9">
        <v>2.0</v>
      </c>
      <c r="B11" s="4" t="s">
        <v>17</v>
      </c>
      <c r="C11" s="4" t="s">
        <v>121</v>
      </c>
      <c r="D11" s="33">
        <f t="shared" si="4"/>
        <v>161.4895833</v>
      </c>
      <c r="E11" s="5" t="s">
        <v>267</v>
      </c>
      <c r="F11" s="24">
        <f t="shared" si="5"/>
        <v>6</v>
      </c>
      <c r="G11" s="24">
        <f t="shared" si="6"/>
        <v>0</v>
      </c>
      <c r="I11" s="5" t="s">
        <v>131</v>
      </c>
      <c r="N11" s="4" t="str">
        <f>B10</f>
        <v>Caio Scofield</v>
      </c>
      <c r="P11" s="5">
        <v>1.0</v>
      </c>
      <c r="R11" s="43" t="s">
        <v>270</v>
      </c>
      <c r="S11" s="44">
        <v>2.0</v>
      </c>
      <c r="T11" s="44">
        <v>0.0</v>
      </c>
      <c r="U11" s="44">
        <v>0.0</v>
      </c>
      <c r="V11" s="45">
        <f t="shared" si="1"/>
        <v>6</v>
      </c>
      <c r="W11" s="44">
        <v>17.0</v>
      </c>
      <c r="X11" s="44">
        <v>6.0</v>
      </c>
      <c r="Y11" s="44">
        <f t="shared" si="2"/>
        <v>11</v>
      </c>
      <c r="Z11" s="46">
        <v>1.0</v>
      </c>
      <c r="AA11" s="44">
        <f t="shared" si="3"/>
        <v>2</v>
      </c>
      <c r="AB11" s="47"/>
    </row>
    <row r="12">
      <c r="A12" s="9">
        <v>3.0</v>
      </c>
      <c r="B12" s="4" t="s">
        <v>23</v>
      </c>
      <c r="C12" s="4" t="s">
        <v>121</v>
      </c>
      <c r="D12" s="33">
        <f t="shared" si="4"/>
        <v>161.4895833</v>
      </c>
      <c r="E12" s="5" t="s">
        <v>267</v>
      </c>
      <c r="F12" s="24">
        <f t="shared" si="5"/>
        <v>0</v>
      </c>
      <c r="G12" s="24">
        <f t="shared" si="6"/>
        <v>0</v>
      </c>
      <c r="I12" s="5" t="s">
        <v>271</v>
      </c>
      <c r="J12" s="5">
        <v>2.0</v>
      </c>
      <c r="K12" s="5">
        <v>5.0</v>
      </c>
      <c r="L12" s="5" t="s">
        <v>105</v>
      </c>
      <c r="N12" s="4" t="str">
        <f t="shared" ref="N12:N13" si="7">B12</f>
        <v>Gustavo Bittencourt</v>
      </c>
      <c r="R12" s="43" t="s">
        <v>272</v>
      </c>
      <c r="S12" s="44">
        <v>2.0</v>
      </c>
      <c r="T12" s="44">
        <v>10.0</v>
      </c>
      <c r="U12" s="44">
        <v>0.0</v>
      </c>
      <c r="V12" s="45">
        <f t="shared" si="1"/>
        <v>6</v>
      </c>
      <c r="W12" s="44">
        <v>47.0</v>
      </c>
      <c r="X12" s="44">
        <v>100.0</v>
      </c>
      <c r="Y12" s="44">
        <f t="shared" si="2"/>
        <v>-53</v>
      </c>
      <c r="Z12" s="46">
        <v>0.1667</v>
      </c>
      <c r="AA12" s="44">
        <f t="shared" si="3"/>
        <v>12</v>
      </c>
      <c r="AB12" s="47"/>
    </row>
    <row r="13">
      <c r="A13" s="9">
        <v>4.0</v>
      </c>
      <c r="B13" s="4" t="s">
        <v>29</v>
      </c>
      <c r="C13" s="4" t="s">
        <v>121</v>
      </c>
      <c r="D13" s="33">
        <f t="shared" si="4"/>
        <v>161.4895833</v>
      </c>
      <c r="E13" s="5" t="s">
        <v>267</v>
      </c>
      <c r="F13" s="24">
        <f t="shared" si="5"/>
        <v>2</v>
      </c>
      <c r="G13" s="24">
        <f t="shared" si="6"/>
        <v>0</v>
      </c>
      <c r="N13" s="4" t="str">
        <f t="shared" si="7"/>
        <v>Joao Barros</v>
      </c>
      <c r="R13" s="43" t="s">
        <v>273</v>
      </c>
      <c r="S13" s="44">
        <v>1.0</v>
      </c>
      <c r="T13" s="44">
        <v>9.0</v>
      </c>
      <c r="U13" s="44">
        <v>1.0</v>
      </c>
      <c r="V13" s="45">
        <f t="shared" si="1"/>
        <v>4</v>
      </c>
      <c r="W13" s="44">
        <v>51.0</v>
      </c>
      <c r="X13" s="44">
        <v>77.0</v>
      </c>
      <c r="Y13" s="44">
        <f t="shared" si="2"/>
        <v>-26</v>
      </c>
      <c r="Z13" s="46">
        <v>0.1364</v>
      </c>
      <c r="AA13" s="44">
        <f t="shared" si="3"/>
        <v>11</v>
      </c>
      <c r="AB13" s="47"/>
    </row>
    <row r="14">
      <c r="A14" s="9">
        <v>5.0</v>
      </c>
      <c r="B14" s="4" t="s">
        <v>31</v>
      </c>
      <c r="C14" s="4" t="s">
        <v>121</v>
      </c>
      <c r="D14" s="33">
        <f t="shared" si="4"/>
        <v>161.4895833</v>
      </c>
      <c r="E14" s="5" t="s">
        <v>267</v>
      </c>
      <c r="F14" s="24">
        <f t="shared" si="5"/>
        <v>0</v>
      </c>
      <c r="G14" s="24">
        <f t="shared" si="6"/>
        <v>0</v>
      </c>
      <c r="N14" s="4" t="str">
        <f>B15</f>
        <v>Marcelo Dichtchekenian</v>
      </c>
      <c r="R14" s="43" t="s">
        <v>274</v>
      </c>
      <c r="S14" s="44">
        <v>1.0</v>
      </c>
      <c r="T14" s="44">
        <v>0.0</v>
      </c>
      <c r="U14" s="44">
        <v>0.0</v>
      </c>
      <c r="V14" s="45">
        <f t="shared" si="1"/>
        <v>3</v>
      </c>
      <c r="W14" s="44">
        <v>13.0</v>
      </c>
      <c r="X14" s="44">
        <v>6.0</v>
      </c>
      <c r="Y14" s="44">
        <f t="shared" si="2"/>
        <v>7</v>
      </c>
      <c r="Z14" s="46">
        <v>1.0</v>
      </c>
      <c r="AA14" s="44">
        <f t="shared" si="3"/>
        <v>1</v>
      </c>
      <c r="AB14" s="47"/>
    </row>
    <row r="15">
      <c r="A15" s="9">
        <v>6.0</v>
      </c>
      <c r="B15" s="4" t="s">
        <v>38</v>
      </c>
      <c r="C15" s="4" t="s">
        <v>121</v>
      </c>
      <c r="D15" s="33">
        <f t="shared" si="4"/>
        <v>161.4895833</v>
      </c>
      <c r="E15" s="5" t="s">
        <v>267</v>
      </c>
      <c r="F15" s="24">
        <f t="shared" si="5"/>
        <v>0</v>
      </c>
      <c r="G15" s="24">
        <f t="shared" si="6"/>
        <v>1</v>
      </c>
      <c r="N15" s="4" t="str">
        <f t="shared" ref="N15:N16" si="8">B17</f>
        <v>Rafael Franco</v>
      </c>
      <c r="R15" s="43" t="s">
        <v>275</v>
      </c>
      <c r="S15" s="44">
        <v>1.0</v>
      </c>
      <c r="T15" s="44">
        <v>0.0</v>
      </c>
      <c r="U15" s="44">
        <v>0.0</v>
      </c>
      <c r="V15" s="45">
        <f t="shared" si="1"/>
        <v>3</v>
      </c>
      <c r="W15" s="44">
        <v>12.0</v>
      </c>
      <c r="X15" s="44">
        <v>6.0</v>
      </c>
      <c r="Y15" s="44">
        <f t="shared" si="2"/>
        <v>6</v>
      </c>
      <c r="Z15" s="46">
        <v>1.0</v>
      </c>
      <c r="AA15" s="44">
        <f t="shared" si="3"/>
        <v>1</v>
      </c>
      <c r="AB15" s="47"/>
    </row>
    <row r="16">
      <c r="A16" s="9">
        <v>7.0</v>
      </c>
      <c r="B16" s="4" t="s">
        <v>42</v>
      </c>
      <c r="C16" s="4" t="s">
        <v>121</v>
      </c>
      <c r="D16" s="33">
        <f t="shared" si="4"/>
        <v>161.4895833</v>
      </c>
      <c r="E16" s="5" t="s">
        <v>267</v>
      </c>
      <c r="F16" s="24">
        <f t="shared" si="5"/>
        <v>0</v>
      </c>
      <c r="G16" s="24">
        <f t="shared" si="6"/>
        <v>0</v>
      </c>
      <c r="N16" s="4" t="str">
        <f t="shared" si="8"/>
        <v>Rafael Mattos</v>
      </c>
      <c r="O16" s="5">
        <v>1.0</v>
      </c>
      <c r="R16" s="43" t="s">
        <v>276</v>
      </c>
      <c r="S16" s="44">
        <v>1.0</v>
      </c>
      <c r="T16" s="44">
        <v>0.0</v>
      </c>
      <c r="U16" s="44">
        <v>0.0</v>
      </c>
      <c r="V16" s="45">
        <f t="shared" si="1"/>
        <v>3</v>
      </c>
      <c r="W16" s="44">
        <v>8.0</v>
      </c>
      <c r="X16" s="44">
        <v>2.0</v>
      </c>
      <c r="Y16" s="44">
        <f t="shared" si="2"/>
        <v>6</v>
      </c>
      <c r="Z16" s="46">
        <v>1.0</v>
      </c>
      <c r="AA16" s="44">
        <f t="shared" si="3"/>
        <v>1</v>
      </c>
      <c r="AB16" s="47"/>
    </row>
    <row r="17">
      <c r="A17" s="9">
        <v>8.0</v>
      </c>
      <c r="B17" s="4" t="s">
        <v>47</v>
      </c>
      <c r="C17" s="4" t="s">
        <v>121</v>
      </c>
      <c r="D17" s="33">
        <f t="shared" si="4"/>
        <v>161.4895833</v>
      </c>
      <c r="E17" s="5" t="s">
        <v>267</v>
      </c>
      <c r="F17" s="24">
        <f t="shared" si="5"/>
        <v>5</v>
      </c>
      <c r="G17" s="24">
        <f t="shared" si="6"/>
        <v>0</v>
      </c>
      <c r="N17" s="4" t="str">
        <f t="shared" ref="N17:N18" si="9">B20</f>
        <v>Roberto Machado</v>
      </c>
      <c r="R17" s="43" t="s">
        <v>277</v>
      </c>
      <c r="S17" s="44">
        <v>1.0</v>
      </c>
      <c r="T17" s="44">
        <v>0.0</v>
      </c>
      <c r="U17" s="44">
        <v>0.0</v>
      </c>
      <c r="V17" s="45">
        <f t="shared" si="1"/>
        <v>3</v>
      </c>
      <c r="W17" s="44">
        <v>10.0</v>
      </c>
      <c r="X17" s="44">
        <v>6.0</v>
      </c>
      <c r="Y17" s="44">
        <f t="shared" si="2"/>
        <v>4</v>
      </c>
      <c r="Z17" s="46">
        <v>1.0</v>
      </c>
      <c r="AA17" s="44">
        <f t="shared" si="3"/>
        <v>1</v>
      </c>
      <c r="AB17" s="47"/>
    </row>
    <row r="18">
      <c r="A18" s="9">
        <v>9.0</v>
      </c>
      <c r="B18" s="4" t="s">
        <v>49</v>
      </c>
      <c r="C18" s="4" t="s">
        <v>121</v>
      </c>
      <c r="D18" s="33">
        <f t="shared" si="4"/>
        <v>161.4895833</v>
      </c>
      <c r="E18" s="5" t="s">
        <v>267</v>
      </c>
      <c r="F18" s="24">
        <f t="shared" si="5"/>
        <v>9</v>
      </c>
      <c r="G18" s="24">
        <f t="shared" si="6"/>
        <v>0</v>
      </c>
      <c r="I18" s="9"/>
      <c r="J18" s="9"/>
      <c r="K18" s="9"/>
      <c r="L18" s="9"/>
      <c r="M18" s="9"/>
      <c r="N18" s="4" t="str">
        <f t="shared" si="9"/>
        <v>Sergio Filho</v>
      </c>
      <c r="R18" s="43" t="s">
        <v>278</v>
      </c>
      <c r="S18" s="44">
        <v>0.0</v>
      </c>
      <c r="T18" s="44">
        <v>10.0</v>
      </c>
      <c r="U18" s="44">
        <v>1.0</v>
      </c>
      <c r="V18" s="45">
        <f t="shared" si="1"/>
        <v>1</v>
      </c>
      <c r="W18" s="44">
        <v>43.0</v>
      </c>
      <c r="X18" s="44">
        <v>102.0</v>
      </c>
      <c r="Y18" s="44">
        <f t="shared" si="2"/>
        <v>-59</v>
      </c>
      <c r="Z18" s="46">
        <v>0.0455</v>
      </c>
      <c r="AA18" s="44">
        <f t="shared" si="3"/>
        <v>11</v>
      </c>
      <c r="AB18" s="47"/>
    </row>
    <row r="19">
      <c r="A19" s="9">
        <v>10.0</v>
      </c>
      <c r="B19" s="4" t="s">
        <v>51</v>
      </c>
      <c r="C19" s="4" t="s">
        <v>121</v>
      </c>
      <c r="D19" s="33">
        <f t="shared" si="4"/>
        <v>161.4895833</v>
      </c>
      <c r="E19" s="5" t="s">
        <v>267</v>
      </c>
      <c r="F19" s="24">
        <f t="shared" si="5"/>
        <v>0</v>
      </c>
      <c r="G19" s="24">
        <f t="shared" si="6"/>
        <v>0</v>
      </c>
      <c r="J19" s="34"/>
      <c r="N19" s="5" t="s">
        <v>167</v>
      </c>
      <c r="O19" s="5">
        <v>4.0</v>
      </c>
      <c r="R19" s="43" t="s">
        <v>279</v>
      </c>
      <c r="S19" s="44">
        <v>0.0</v>
      </c>
      <c r="T19" s="44">
        <v>1.0</v>
      </c>
      <c r="U19" s="44">
        <v>0.0</v>
      </c>
      <c r="V19" s="45">
        <f t="shared" si="1"/>
        <v>0</v>
      </c>
      <c r="W19" s="44">
        <v>4.0</v>
      </c>
      <c r="X19" s="44">
        <v>5.0</v>
      </c>
      <c r="Y19" s="44">
        <f t="shared" si="2"/>
        <v>-1</v>
      </c>
      <c r="Z19" s="46">
        <v>0.0</v>
      </c>
      <c r="AA19" s="44">
        <f t="shared" si="3"/>
        <v>1</v>
      </c>
      <c r="AB19" s="47"/>
    </row>
    <row r="20">
      <c r="A20" s="9">
        <v>11.0</v>
      </c>
      <c r="B20" s="4" t="s">
        <v>59</v>
      </c>
      <c r="C20" s="4" t="s">
        <v>121</v>
      </c>
      <c r="D20" s="33">
        <f t="shared" si="4"/>
        <v>161.4895833</v>
      </c>
      <c r="E20" s="5" t="s">
        <v>267</v>
      </c>
      <c r="F20" s="24">
        <f t="shared" si="5"/>
        <v>0</v>
      </c>
      <c r="G20" s="24">
        <f t="shared" si="6"/>
        <v>3</v>
      </c>
      <c r="I20" s="40"/>
      <c r="J20" s="40"/>
      <c r="K20" s="40"/>
      <c r="L20" s="40"/>
      <c r="M20" s="40"/>
      <c r="N20" s="40"/>
      <c r="O20" s="40"/>
      <c r="P20" s="40"/>
      <c r="R20" s="43" t="s">
        <v>280</v>
      </c>
      <c r="S20" s="44">
        <v>0.0</v>
      </c>
      <c r="T20" s="44">
        <v>1.0</v>
      </c>
      <c r="U20" s="44">
        <v>0.0</v>
      </c>
      <c r="V20" s="45">
        <f t="shared" si="1"/>
        <v>0</v>
      </c>
      <c r="W20" s="44">
        <v>4.0</v>
      </c>
      <c r="X20" s="44">
        <v>7.0</v>
      </c>
      <c r="Y20" s="44">
        <f t="shared" si="2"/>
        <v>-3</v>
      </c>
      <c r="Z20" s="46">
        <v>0.0</v>
      </c>
      <c r="AA20" s="44">
        <f t="shared" si="3"/>
        <v>1</v>
      </c>
      <c r="AB20" s="47"/>
    </row>
    <row r="21">
      <c r="A21" s="9">
        <v>12.0</v>
      </c>
      <c r="B21" s="4" t="s">
        <v>63</v>
      </c>
      <c r="C21" s="4" t="s">
        <v>121</v>
      </c>
      <c r="D21" s="33">
        <f t="shared" si="4"/>
        <v>161.4895833</v>
      </c>
      <c r="E21" s="5" t="s">
        <v>267</v>
      </c>
      <c r="F21" s="24">
        <f t="shared" si="5"/>
        <v>4</v>
      </c>
      <c r="G21" s="24">
        <f t="shared" si="6"/>
        <v>1</v>
      </c>
      <c r="I21" s="5" t="s">
        <v>281</v>
      </c>
      <c r="J21" s="41"/>
      <c r="N21" s="4"/>
      <c r="O21" s="5" t="s">
        <v>87</v>
      </c>
      <c r="P21" s="5" t="s">
        <v>89</v>
      </c>
    </row>
    <row r="22">
      <c r="B22" s="9" t="s">
        <v>127</v>
      </c>
      <c r="F22" s="24">
        <f t="shared" si="5"/>
        <v>0</v>
      </c>
      <c r="G22" s="24">
        <f t="shared" si="6"/>
        <v>0</v>
      </c>
      <c r="I22" s="5" t="s">
        <v>139</v>
      </c>
      <c r="N22" s="4" t="str">
        <f>B10</f>
        <v>Caio Scofield</v>
      </c>
    </row>
    <row r="23">
      <c r="B23" s="5" t="s">
        <v>167</v>
      </c>
      <c r="F23" s="24">
        <f t="shared" si="5"/>
        <v>9</v>
      </c>
      <c r="G23" s="24">
        <f t="shared" si="6"/>
        <v>0</v>
      </c>
      <c r="I23" s="5" t="s">
        <v>282</v>
      </c>
      <c r="J23" s="5">
        <v>3.0</v>
      </c>
      <c r="K23" s="5">
        <v>5.0</v>
      </c>
      <c r="L23" s="5" t="s">
        <v>105</v>
      </c>
      <c r="N23" s="5" t="s">
        <v>199</v>
      </c>
    </row>
    <row r="24">
      <c r="B24" s="5" t="s">
        <v>283</v>
      </c>
      <c r="C24" s="9"/>
      <c r="F24" s="24">
        <f t="shared" si="5"/>
        <v>1</v>
      </c>
      <c r="G24" s="24">
        <f t="shared" si="6"/>
        <v>1</v>
      </c>
      <c r="N24" s="4" t="str">
        <f>B13</f>
        <v>Joao Barros</v>
      </c>
    </row>
    <row r="25">
      <c r="B25" s="5" t="s">
        <v>169</v>
      </c>
      <c r="C25" s="33"/>
      <c r="F25" s="24">
        <f t="shared" si="5"/>
        <v>1</v>
      </c>
      <c r="G25" s="24">
        <f t="shared" si="6"/>
        <v>0</v>
      </c>
      <c r="N25" s="4" t="str">
        <f t="shared" ref="N25:N29" si="10">B17</f>
        <v>Rafael Franco</v>
      </c>
    </row>
    <row r="26">
      <c r="B26" s="5" t="s">
        <v>284</v>
      </c>
      <c r="C26" s="33"/>
      <c r="F26" s="24">
        <f t="shared" si="5"/>
        <v>2</v>
      </c>
      <c r="G26" s="24">
        <f t="shared" si="6"/>
        <v>0</v>
      </c>
      <c r="N26" s="4" t="str">
        <f t="shared" si="10"/>
        <v>Rafael Mattos</v>
      </c>
      <c r="O26" s="5">
        <v>2.0</v>
      </c>
    </row>
    <row r="27">
      <c r="B27" s="5" t="s">
        <v>202</v>
      </c>
      <c r="C27" s="49"/>
      <c r="F27" s="24">
        <f t="shared" si="5"/>
        <v>2</v>
      </c>
      <c r="G27" s="24">
        <f t="shared" si="6"/>
        <v>0</v>
      </c>
      <c r="N27" s="4" t="str">
        <f t="shared" si="10"/>
        <v>Ranieri Filho</v>
      </c>
    </row>
    <row r="28">
      <c r="I28" s="9"/>
      <c r="J28" s="9"/>
      <c r="K28" s="9"/>
      <c r="L28" s="9"/>
      <c r="M28" s="9"/>
      <c r="N28" s="4" t="str">
        <f t="shared" si="10"/>
        <v>Roberto Machado</v>
      </c>
    </row>
    <row r="29">
      <c r="J29" s="34"/>
      <c r="N29" s="24" t="str">
        <f t="shared" si="10"/>
        <v>Sergio Filho</v>
      </c>
      <c r="O29" s="5">
        <v>1.0</v>
      </c>
    </row>
    <row r="30">
      <c r="B30" s="33"/>
      <c r="N30" s="5" t="s">
        <v>284</v>
      </c>
      <c r="O30" s="5">
        <v>2.0</v>
      </c>
    </row>
    <row r="31">
      <c r="B31" s="33"/>
      <c r="I31" s="40"/>
      <c r="J31" s="40"/>
      <c r="K31" s="40"/>
      <c r="L31" s="40"/>
      <c r="M31" s="40"/>
      <c r="N31" s="40"/>
      <c r="O31" s="40"/>
      <c r="P31" s="40"/>
    </row>
    <row r="32">
      <c r="B32" s="35"/>
      <c r="I32" s="5" t="s">
        <v>285</v>
      </c>
      <c r="J32" s="41"/>
      <c r="N32" s="4"/>
      <c r="O32" s="5" t="s">
        <v>87</v>
      </c>
      <c r="P32" s="5" t="s">
        <v>89</v>
      </c>
    </row>
    <row r="33">
      <c r="B33" s="33"/>
      <c r="I33" s="5" t="s">
        <v>131</v>
      </c>
      <c r="N33" s="4" t="str">
        <f>B10</f>
        <v>Caio Scofield</v>
      </c>
    </row>
    <row r="34">
      <c r="B34" s="35"/>
      <c r="I34" s="5" t="s">
        <v>105</v>
      </c>
      <c r="J34" s="5">
        <v>3.0</v>
      </c>
      <c r="K34" s="5">
        <v>1.0</v>
      </c>
      <c r="L34" s="5" t="s">
        <v>144</v>
      </c>
      <c r="N34" s="5" t="str">
        <f>B13</f>
        <v>Joao Barros</v>
      </c>
    </row>
    <row r="35">
      <c r="B35" s="33"/>
      <c r="N35" s="4" t="str">
        <f>B15</f>
        <v>Marcelo Dichtchekenian</v>
      </c>
    </row>
    <row r="36">
      <c r="N36" s="4" t="str">
        <f t="shared" ref="N36:N40" si="11">B17</f>
        <v>Rafael Franco</v>
      </c>
      <c r="O36" s="5">
        <v>3.0</v>
      </c>
    </row>
    <row r="37">
      <c r="N37" s="4" t="str">
        <f t="shared" si="11"/>
        <v>Rafael Mattos</v>
      </c>
    </row>
    <row r="38">
      <c r="N38" s="4" t="str">
        <f t="shared" si="11"/>
        <v>Ranieri Filho</v>
      </c>
    </row>
    <row r="39">
      <c r="B39" s="33"/>
      <c r="I39" s="9"/>
      <c r="J39" s="9"/>
      <c r="K39" s="9"/>
      <c r="L39" s="9"/>
      <c r="M39" s="9"/>
      <c r="N39" s="4" t="str">
        <f t="shared" si="11"/>
        <v>Roberto Machado</v>
      </c>
      <c r="P39" s="5">
        <v>1.0</v>
      </c>
    </row>
    <row r="40">
      <c r="B40" s="35"/>
      <c r="J40" s="34"/>
      <c r="N40" s="4" t="str">
        <f t="shared" si="11"/>
        <v>Sergio Filho</v>
      </c>
    </row>
    <row r="41">
      <c r="B41" s="35"/>
      <c r="I41" s="40"/>
      <c r="J41" s="40"/>
      <c r="K41" s="40"/>
      <c r="L41" s="40"/>
      <c r="M41" s="40"/>
      <c r="N41" s="40"/>
      <c r="O41" s="40"/>
      <c r="P41" s="40"/>
    </row>
    <row r="42">
      <c r="B42" s="35"/>
      <c r="I42" s="5" t="s">
        <v>286</v>
      </c>
      <c r="J42" s="41"/>
      <c r="N42" s="4"/>
      <c r="O42" s="5" t="s">
        <v>87</v>
      </c>
      <c r="P42" s="5" t="s">
        <v>287</v>
      </c>
    </row>
    <row r="43">
      <c r="I43" s="5" t="s">
        <v>131</v>
      </c>
      <c r="N43" s="4" t="str">
        <f>B10</f>
        <v>Caio Scofield</v>
      </c>
    </row>
    <row r="44">
      <c r="I44" s="5" t="s">
        <v>288</v>
      </c>
      <c r="J44" s="5">
        <v>4.0</v>
      </c>
      <c r="K44" s="5">
        <v>7.0</v>
      </c>
      <c r="L44" s="5" t="s">
        <v>105</v>
      </c>
      <c r="N44" s="5" t="str">
        <f>B13</f>
        <v>Joao Barros</v>
      </c>
      <c r="O44" s="5">
        <v>2.0</v>
      </c>
    </row>
    <row r="45">
      <c r="N45" s="4" t="str">
        <f>B15</f>
        <v>Marcelo Dichtchekenian</v>
      </c>
      <c r="P45" s="5">
        <v>1.0</v>
      </c>
    </row>
    <row r="46">
      <c r="N46" s="4" t="str">
        <f t="shared" ref="N46:N48" si="12">B17</f>
        <v>Rafael Franco</v>
      </c>
    </row>
    <row r="47">
      <c r="N47" s="4" t="str">
        <f t="shared" si="12"/>
        <v>Rafael Mattos</v>
      </c>
      <c r="O47" s="5">
        <v>2.0</v>
      </c>
    </row>
    <row r="48">
      <c r="N48" s="4" t="str">
        <f t="shared" si="12"/>
        <v>Ranieri Filho</v>
      </c>
    </row>
    <row r="49">
      <c r="I49" s="9"/>
      <c r="J49" s="9"/>
      <c r="K49" s="9"/>
      <c r="L49" s="9"/>
      <c r="M49" s="9"/>
      <c r="N49" s="4" t="str">
        <f>B21</f>
        <v>Sergio Filho</v>
      </c>
      <c r="O49" s="5">
        <v>1.0</v>
      </c>
    </row>
    <row r="50">
      <c r="J50" s="34"/>
      <c r="N50" s="4" t="s">
        <v>202</v>
      </c>
      <c r="O50" s="5">
        <v>2.0</v>
      </c>
    </row>
    <row r="51">
      <c r="I51" s="40"/>
      <c r="J51" s="40"/>
      <c r="K51" s="40"/>
      <c r="L51" s="40"/>
      <c r="M51" s="40"/>
      <c r="N51" s="40"/>
      <c r="O51" s="40"/>
      <c r="P51" s="40"/>
    </row>
    <row r="52">
      <c r="I52" s="5" t="s">
        <v>289</v>
      </c>
      <c r="J52" s="41"/>
      <c r="N52" s="4"/>
      <c r="O52" s="5" t="s">
        <v>87</v>
      </c>
      <c r="P52" s="5" t="s">
        <v>89</v>
      </c>
    </row>
    <row r="53">
      <c r="I53" s="5" t="s">
        <v>136</v>
      </c>
      <c r="N53" s="4" t="str">
        <f>B10</f>
        <v>Caio Scofield</v>
      </c>
    </row>
    <row r="54">
      <c r="I54" s="5" t="s">
        <v>105</v>
      </c>
      <c r="J54" s="5">
        <v>0.0</v>
      </c>
      <c r="K54" s="5">
        <v>5.0</v>
      </c>
      <c r="L54" s="5" t="s">
        <v>290</v>
      </c>
      <c r="N54" s="24" t="str">
        <f>B15</f>
        <v>Marcelo Dichtchekenian</v>
      </c>
    </row>
    <row r="55">
      <c r="N55" s="4" t="str">
        <f t="shared" ref="N55:N59" si="13">B17</f>
        <v>Rafael Franco</v>
      </c>
    </row>
    <row r="56">
      <c r="N56" s="4" t="str">
        <f t="shared" si="13"/>
        <v>Rafael Mattos</v>
      </c>
    </row>
    <row r="57">
      <c r="N57" s="4" t="str">
        <f t="shared" si="13"/>
        <v>Ranieri Filho</v>
      </c>
    </row>
    <row r="58">
      <c r="N58" s="4" t="str">
        <f t="shared" si="13"/>
        <v>Roberto Machado</v>
      </c>
      <c r="P58" s="5">
        <v>1.0</v>
      </c>
    </row>
    <row r="59">
      <c r="I59" s="9"/>
      <c r="J59" s="9"/>
      <c r="K59" s="9"/>
      <c r="L59" s="9"/>
      <c r="M59" s="9"/>
      <c r="N59" s="4" t="str">
        <f t="shared" si="13"/>
        <v>Sergio Filho</v>
      </c>
      <c r="P59" s="5">
        <v>1.0</v>
      </c>
    </row>
    <row r="60">
      <c r="J60" s="34"/>
      <c r="N60" s="4" t="s">
        <v>167</v>
      </c>
    </row>
    <row r="61">
      <c r="N61" s="5" t="s">
        <v>54</v>
      </c>
    </row>
    <row r="62">
      <c r="I62" s="40"/>
      <c r="J62" s="40"/>
      <c r="K62" s="40"/>
      <c r="L62" s="40"/>
      <c r="M62" s="40"/>
      <c r="N62" s="40"/>
      <c r="O62" s="40"/>
      <c r="P62" s="40"/>
    </row>
    <row r="63">
      <c r="I63" s="5" t="s">
        <v>291</v>
      </c>
      <c r="O63" s="5" t="s">
        <v>87</v>
      </c>
      <c r="P63" s="5" t="s">
        <v>89</v>
      </c>
    </row>
    <row r="64">
      <c r="I64" s="5" t="s">
        <v>139</v>
      </c>
      <c r="N64" s="24" t="str">
        <f>B10</f>
        <v>Caio Scofield</v>
      </c>
    </row>
    <row r="65">
      <c r="I65" s="5" t="s">
        <v>105</v>
      </c>
      <c r="J65" s="5">
        <v>6.0</v>
      </c>
      <c r="K65" s="5">
        <v>5.0</v>
      </c>
      <c r="L65" s="5" t="s">
        <v>292</v>
      </c>
      <c r="N65" s="24" t="str">
        <f>B15</f>
        <v>Marcelo Dichtchekenian</v>
      </c>
    </row>
    <row r="66">
      <c r="N66" s="24" t="str">
        <f t="shared" ref="N66:N69" si="14">B17</f>
        <v>Rafael Franco</v>
      </c>
      <c r="O66" s="5">
        <v>2.0</v>
      </c>
    </row>
    <row r="67">
      <c r="N67" s="24" t="str">
        <f t="shared" si="14"/>
        <v>Rafael Mattos</v>
      </c>
      <c r="O67" s="5">
        <v>2.0</v>
      </c>
    </row>
    <row r="68">
      <c r="N68" s="24" t="str">
        <f t="shared" si="14"/>
        <v>Ranieri Filho</v>
      </c>
    </row>
    <row r="69">
      <c r="N69" s="24" t="str">
        <f t="shared" si="14"/>
        <v>Roberto Machado</v>
      </c>
    </row>
    <row r="70">
      <c r="N70" s="5" t="s">
        <v>283</v>
      </c>
      <c r="O70" s="5">
        <v>1.0</v>
      </c>
      <c r="P70" s="5">
        <v>1.0</v>
      </c>
    </row>
    <row r="71">
      <c r="N71" s="5" t="s">
        <v>169</v>
      </c>
      <c r="O71" s="5">
        <v>1.0</v>
      </c>
    </row>
    <row r="72">
      <c r="I72" s="40"/>
      <c r="J72" s="40"/>
      <c r="K72" s="40"/>
      <c r="L72" s="40"/>
      <c r="M72" s="40"/>
      <c r="N72" s="40"/>
      <c r="O72" s="40"/>
      <c r="P72" s="40"/>
    </row>
    <row r="73">
      <c r="I73" s="5" t="s">
        <v>293</v>
      </c>
      <c r="O73" s="5" t="s">
        <v>87</v>
      </c>
      <c r="P73" s="5" t="s">
        <v>89</v>
      </c>
    </row>
    <row r="74">
      <c r="I74" s="5" t="s">
        <v>102</v>
      </c>
      <c r="N74" s="24" t="str">
        <f t="shared" ref="N74:N75" si="15">B10</f>
        <v>Caio Scofield</v>
      </c>
    </row>
    <row r="75">
      <c r="I75" s="5" t="s">
        <v>294</v>
      </c>
      <c r="J75" s="5">
        <v>9.0</v>
      </c>
      <c r="K75" s="5">
        <v>9.0</v>
      </c>
      <c r="L75" s="5" t="s">
        <v>105</v>
      </c>
      <c r="N75" s="24" t="str">
        <f t="shared" si="15"/>
        <v>Guilherme Kuster</v>
      </c>
      <c r="O75" s="5">
        <v>6.0</v>
      </c>
    </row>
    <row r="76">
      <c r="N76" s="24" t="str">
        <f>B15</f>
        <v>Marcelo Dichtchekenian</v>
      </c>
    </row>
    <row r="77">
      <c r="N77" s="24" t="str">
        <f>B18</f>
        <v>Rafael Mattos</v>
      </c>
      <c r="O77" s="5">
        <v>1.0</v>
      </c>
    </row>
    <row r="78">
      <c r="N78" s="24" t="str">
        <f t="shared" ref="N78:N79" si="16">B20</f>
        <v>Roberto Machado</v>
      </c>
      <c r="P78" s="5">
        <v>1.0</v>
      </c>
    </row>
    <row r="79">
      <c r="N79" s="24" t="str">
        <f t="shared" si="16"/>
        <v>Sergio Filho</v>
      </c>
      <c r="O79" s="5">
        <v>2.0</v>
      </c>
    </row>
    <row r="80">
      <c r="I80" s="40"/>
      <c r="J80" s="40"/>
      <c r="K80" s="40"/>
      <c r="L80" s="40"/>
      <c r="M80" s="40"/>
      <c r="N80" s="40"/>
      <c r="O80" s="40"/>
      <c r="P80" s="40"/>
    </row>
    <row r="81">
      <c r="I81" s="5" t="s">
        <v>295</v>
      </c>
    </row>
    <row r="82">
      <c r="I82" s="5" t="s">
        <v>296</v>
      </c>
    </row>
    <row r="83">
      <c r="I83" s="5" t="s">
        <v>105</v>
      </c>
      <c r="J83" s="5">
        <v>3.0</v>
      </c>
      <c r="K83" s="5">
        <v>0.0</v>
      </c>
      <c r="L83" s="5" t="s">
        <v>278</v>
      </c>
    </row>
    <row r="84">
      <c r="I84" s="40"/>
      <c r="J84" s="40"/>
      <c r="K84" s="40"/>
      <c r="L84" s="40"/>
      <c r="M84" s="40"/>
      <c r="N84" s="40"/>
      <c r="O84" s="40"/>
      <c r="P84" s="40"/>
    </row>
    <row r="85">
      <c r="I85" s="5" t="s">
        <v>297</v>
      </c>
      <c r="O85" s="5" t="s">
        <v>87</v>
      </c>
      <c r="P85" s="5" t="s">
        <v>89</v>
      </c>
    </row>
    <row r="86">
      <c r="I86" s="5" t="s">
        <v>139</v>
      </c>
      <c r="N86" s="24" t="str">
        <f t="shared" ref="N86:N87" si="17">B10</f>
        <v>Caio Scofield</v>
      </c>
      <c r="O86" s="5">
        <v>1.0</v>
      </c>
    </row>
    <row r="87">
      <c r="I87" s="5" t="s">
        <v>185</v>
      </c>
      <c r="J87" s="5">
        <v>5.0</v>
      </c>
      <c r="K87" s="5">
        <v>7.0</v>
      </c>
      <c r="L87" s="5" t="s">
        <v>105</v>
      </c>
      <c r="N87" s="24" t="str">
        <f t="shared" si="17"/>
        <v>Guilherme Kuster</v>
      </c>
    </row>
    <row r="88">
      <c r="N88" s="24" t="str">
        <f t="shared" ref="N88:N89" si="18">B13</f>
        <v>Joao Barros</v>
      </c>
    </row>
    <row r="89">
      <c r="N89" s="24" t="str">
        <f t="shared" si="18"/>
        <v>Joao Pinto</v>
      </c>
    </row>
    <row r="90">
      <c r="N90" s="24" t="str">
        <f t="shared" ref="N90:N92" si="19">B18</f>
        <v>Rafael Mattos</v>
      </c>
      <c r="O90" s="5">
        <v>1.0</v>
      </c>
    </row>
    <row r="91">
      <c r="N91" s="24" t="str">
        <f t="shared" si="19"/>
        <v>Ranieri Filho</v>
      </c>
    </row>
    <row r="92">
      <c r="N92" s="24" t="str">
        <f t="shared" si="19"/>
        <v>Roberto Machado</v>
      </c>
    </row>
    <row r="93">
      <c r="N93" s="5" t="s">
        <v>167</v>
      </c>
      <c r="O93" s="5">
        <v>5.0</v>
      </c>
    </row>
    <row r="94">
      <c r="N94" s="5" t="s">
        <v>169</v>
      </c>
    </row>
    <row r="95">
      <c r="I95" s="40"/>
      <c r="J95" s="40"/>
      <c r="K95" s="40"/>
      <c r="L95" s="40"/>
      <c r="M95" s="40"/>
      <c r="N95" s="40"/>
      <c r="O95" s="40"/>
      <c r="P95" s="40"/>
    </row>
    <row r="96">
      <c r="I96" s="5" t="s">
        <v>298</v>
      </c>
    </row>
    <row r="97">
      <c r="I97" s="5" t="s">
        <v>296</v>
      </c>
    </row>
    <row r="98">
      <c r="I98" s="5" t="s">
        <v>282</v>
      </c>
      <c r="J98" s="5">
        <v>0.0</v>
      </c>
      <c r="K98" s="5">
        <v>3.0</v>
      </c>
      <c r="L98" s="5" t="s">
        <v>105</v>
      </c>
    </row>
    <row r="99">
      <c r="I99" s="40"/>
      <c r="J99" s="40"/>
      <c r="K99" s="40"/>
      <c r="L99" s="40"/>
      <c r="M99" s="40"/>
      <c r="N99" s="40"/>
      <c r="O99" s="40"/>
      <c r="P99" s="40"/>
    </row>
  </sheetData>
  <hyperlinks>
    <hyperlink r:id="rId1" location="/online/arenasports/teams/196948" ref="R3"/>
    <hyperlink r:id="rId2" location="/online/arenasports/teams/196953" ref="R4"/>
    <hyperlink r:id="rId3" location="/online/arenasports/teams/196946" ref="R5"/>
    <hyperlink r:id="rId4" location="/online/arenasports/teams/196947" ref="R6"/>
    <hyperlink r:id="rId5" location="/online/arenasports/teams/196949" ref="R7"/>
    <hyperlink r:id="rId6" location="/online/arenasports/teams/196937" ref="R8"/>
    <hyperlink r:id="rId7" location="/online/arenasports/teams/197845" ref="R9"/>
    <hyperlink r:id="rId8" location="/online/arenasports/teams/196950" ref="R10"/>
    <hyperlink r:id="rId9" location="/online/arenasports/teams/196941" ref="R11"/>
    <hyperlink r:id="rId10" location="/online/arenasports/teams/197944" ref="R12"/>
    <hyperlink r:id="rId11" location="/online/arenasports/teams/197028" ref="R13"/>
    <hyperlink r:id="rId12" location="/online/arenasports/teams/196936" ref="R14"/>
    <hyperlink r:id="rId13" location="/online/arenasports/teams/196940" ref="R15"/>
    <hyperlink r:id="rId14" location="/online/arenasports/teams/196935" ref="R16"/>
    <hyperlink r:id="rId15" location="/online/arenasports/teams/196934" ref="R17"/>
    <hyperlink r:id="rId16" location="/online/arenasports/teams/196922" ref="R18"/>
    <hyperlink r:id="rId17" location="/online/arenasports/teams/196945" ref="R19"/>
    <hyperlink r:id="rId18" location="/online/arenasports/teams/196939" ref="R20"/>
  </hyperlinks>
  <drawing r:id="rId1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13"/>
    <col customWidth="1" min="2" max="2" width="18.75"/>
    <col customWidth="1" hidden="1" min="3" max="4" width="11.13"/>
    <col customWidth="1" min="8" max="8" width="18.75"/>
    <col customWidth="1" min="9" max="10" width="3.38"/>
    <col customWidth="1" min="11" max="11" width="24.63"/>
    <col customWidth="1" min="13" max="13" width="18.75"/>
    <col customWidth="1" min="17" max="17" width="35.75"/>
    <col customWidth="1" min="27" max="27" width="9.0"/>
  </cols>
  <sheetData>
    <row r="1">
      <c r="A1" s="9" t="s">
        <v>82</v>
      </c>
      <c r="B1" s="10" t="s">
        <v>299</v>
      </c>
      <c r="C1" s="10"/>
      <c r="D1" s="10"/>
      <c r="H1" s="40"/>
      <c r="I1" s="40"/>
      <c r="J1" s="40"/>
      <c r="K1" s="40"/>
      <c r="L1" s="40"/>
      <c r="M1" s="40"/>
      <c r="N1" s="40"/>
      <c r="O1" s="40"/>
    </row>
    <row r="2">
      <c r="A2" s="9" t="s">
        <v>84</v>
      </c>
      <c r="B2" s="10" t="s">
        <v>85</v>
      </c>
      <c r="C2" s="12"/>
      <c r="D2" s="12"/>
      <c r="H2" s="5" t="s">
        <v>300</v>
      </c>
      <c r="I2" s="41"/>
      <c r="M2" s="4"/>
      <c r="N2" s="5" t="s">
        <v>87</v>
      </c>
      <c r="O2" s="5" t="s">
        <v>89</v>
      </c>
      <c r="Q2" s="15" t="s">
        <v>182</v>
      </c>
      <c r="R2" s="15" t="s">
        <v>91</v>
      </c>
      <c r="S2" s="15" t="s">
        <v>92</v>
      </c>
      <c r="T2" s="15" t="s">
        <v>93</v>
      </c>
      <c r="U2" s="15" t="s">
        <v>183</v>
      </c>
      <c r="V2" s="15" t="s">
        <v>95</v>
      </c>
      <c r="W2" s="15" t="s">
        <v>96</v>
      </c>
      <c r="X2" s="15" t="s">
        <v>97</v>
      </c>
      <c r="Y2" s="15" t="s">
        <v>98</v>
      </c>
      <c r="Z2" s="15" t="s">
        <v>99</v>
      </c>
    </row>
    <row r="3">
      <c r="A3" s="9" t="s">
        <v>100</v>
      </c>
      <c r="B3" s="10" t="s">
        <v>101</v>
      </c>
      <c r="C3" s="10"/>
      <c r="D3" s="10"/>
      <c r="H3" s="5" t="s">
        <v>131</v>
      </c>
      <c r="M3" s="4" t="str">
        <f>B10</f>
        <v>Caio Scofield</v>
      </c>
      <c r="Q3" s="36" t="s">
        <v>222</v>
      </c>
      <c r="R3" s="18">
        <v>7.0</v>
      </c>
      <c r="S3" s="18">
        <v>3.0</v>
      </c>
      <c r="T3" s="18">
        <v>2.0</v>
      </c>
      <c r="U3" s="18">
        <f t="shared" ref="U3:U11" si="1">R3*3+T3*1</f>
        <v>23</v>
      </c>
      <c r="V3" s="18">
        <v>79.0</v>
      </c>
      <c r="W3" s="18">
        <v>60.0</v>
      </c>
      <c r="X3" s="18">
        <f t="shared" ref="X3:X11" si="2">V3-W3</f>
        <v>19</v>
      </c>
      <c r="Y3" s="19">
        <v>0.6667</v>
      </c>
      <c r="Z3" s="18">
        <f t="shared" ref="Z3:Z11" si="3">sum(R3:T3)</f>
        <v>12</v>
      </c>
      <c r="AA3" s="18"/>
    </row>
    <row r="4">
      <c r="A4" s="9" t="s">
        <v>104</v>
      </c>
      <c r="B4" s="5">
        <v>12.0</v>
      </c>
      <c r="H4" s="5" t="s">
        <v>301</v>
      </c>
      <c r="I4" s="5">
        <v>8.0</v>
      </c>
      <c r="J4" s="5">
        <v>11.0</v>
      </c>
      <c r="K4" s="5" t="s">
        <v>105</v>
      </c>
      <c r="M4" s="4" t="str">
        <f t="shared" ref="M4:M6" si="4">B12</f>
        <v>Joao Barros</v>
      </c>
      <c r="N4" s="5">
        <v>1.0</v>
      </c>
      <c r="Q4" s="36" t="s">
        <v>227</v>
      </c>
      <c r="R4" s="18">
        <v>7.0</v>
      </c>
      <c r="S4" s="18">
        <v>3.0</v>
      </c>
      <c r="T4" s="18">
        <v>1.0</v>
      </c>
      <c r="U4" s="18">
        <f t="shared" si="1"/>
        <v>22</v>
      </c>
      <c r="V4" s="18">
        <v>71.0</v>
      </c>
      <c r="W4" s="18">
        <v>52.0</v>
      </c>
      <c r="X4" s="18">
        <f t="shared" si="2"/>
        <v>19</v>
      </c>
      <c r="Y4" s="19">
        <v>0.6818</v>
      </c>
      <c r="Z4" s="18">
        <f t="shared" si="3"/>
        <v>11</v>
      </c>
      <c r="AA4" s="18"/>
    </row>
    <row r="5">
      <c r="A5" s="9" t="s">
        <v>108</v>
      </c>
      <c r="B5" s="20">
        <f>1850*(1+0.0475)</f>
        <v>1937.875</v>
      </c>
      <c r="M5" s="4" t="str">
        <f t="shared" si="4"/>
        <v>Marcelo Dichtchekenian</v>
      </c>
      <c r="Q5" s="36" t="s">
        <v>223</v>
      </c>
      <c r="R5" s="18">
        <v>7.0</v>
      </c>
      <c r="S5" s="18">
        <v>3.0</v>
      </c>
      <c r="T5" s="18">
        <v>1.0</v>
      </c>
      <c r="U5" s="18">
        <f t="shared" si="1"/>
        <v>22</v>
      </c>
      <c r="V5" s="18">
        <v>67.0</v>
      </c>
      <c r="W5" s="18">
        <v>48.0</v>
      </c>
      <c r="X5" s="18">
        <f t="shared" si="2"/>
        <v>19</v>
      </c>
      <c r="Y5" s="19">
        <v>0.6818</v>
      </c>
      <c r="Z5" s="18">
        <f t="shared" si="3"/>
        <v>11</v>
      </c>
      <c r="AA5" s="18"/>
    </row>
    <row r="6">
      <c r="A6" s="9" t="s">
        <v>110</v>
      </c>
      <c r="B6" s="22">
        <v>45391.0</v>
      </c>
      <c r="M6" s="4" t="str">
        <f t="shared" si="4"/>
        <v>Pablo Rodrigues</v>
      </c>
      <c r="O6" s="5">
        <v>1.0</v>
      </c>
      <c r="Q6" s="36" t="s">
        <v>226</v>
      </c>
      <c r="R6" s="18">
        <v>6.0</v>
      </c>
      <c r="S6" s="18">
        <v>4.0</v>
      </c>
      <c r="T6" s="18">
        <v>2.0</v>
      </c>
      <c r="U6" s="18">
        <f t="shared" si="1"/>
        <v>20</v>
      </c>
      <c r="V6" s="18">
        <v>60.0</v>
      </c>
      <c r="W6" s="18">
        <v>61.0</v>
      </c>
      <c r="X6" s="18">
        <f t="shared" si="2"/>
        <v>-1</v>
      </c>
      <c r="Y6" s="19">
        <v>0.5833</v>
      </c>
      <c r="Z6" s="18">
        <f t="shared" si="3"/>
        <v>12</v>
      </c>
      <c r="AA6" s="18"/>
    </row>
    <row r="7">
      <c r="M7" s="4" t="str">
        <f t="shared" ref="M7:M10" si="5">B16</f>
        <v>Rafael Mattos</v>
      </c>
      <c r="N7" s="5">
        <v>1.0</v>
      </c>
      <c r="Q7" s="36" t="s">
        <v>224</v>
      </c>
      <c r="R7" s="18">
        <v>6.0</v>
      </c>
      <c r="S7" s="18">
        <v>6.0</v>
      </c>
      <c r="T7" s="18">
        <v>0.0</v>
      </c>
      <c r="U7" s="18">
        <f t="shared" si="1"/>
        <v>18</v>
      </c>
      <c r="V7" s="18">
        <v>85.0</v>
      </c>
      <c r="W7" s="18">
        <v>70.0</v>
      </c>
      <c r="X7" s="18">
        <f t="shared" si="2"/>
        <v>15</v>
      </c>
      <c r="Y7" s="19">
        <v>0.5</v>
      </c>
      <c r="Z7" s="18">
        <f t="shared" si="3"/>
        <v>12</v>
      </c>
      <c r="AA7" s="18"/>
    </row>
    <row r="8">
      <c r="M8" s="4" t="str">
        <f t="shared" si="5"/>
        <v>Ranieri Filho</v>
      </c>
      <c r="N8" s="5">
        <v>4.0</v>
      </c>
      <c r="Q8" s="36" t="s">
        <v>225</v>
      </c>
      <c r="R8" s="18">
        <v>6.0</v>
      </c>
      <c r="S8" s="18">
        <v>5.0</v>
      </c>
      <c r="T8" s="18">
        <v>0.0</v>
      </c>
      <c r="U8" s="18">
        <f t="shared" si="1"/>
        <v>18</v>
      </c>
      <c r="V8" s="18">
        <v>47.0</v>
      </c>
      <c r="W8" s="18">
        <v>44.0</v>
      </c>
      <c r="X8" s="18">
        <f t="shared" si="2"/>
        <v>3</v>
      </c>
      <c r="Y8" s="19">
        <v>0.5455</v>
      </c>
      <c r="Z8" s="18">
        <f t="shared" si="3"/>
        <v>11</v>
      </c>
      <c r="AA8" s="18"/>
    </row>
    <row r="9">
      <c r="A9" s="25"/>
      <c r="B9" s="9" t="s">
        <v>114</v>
      </c>
      <c r="C9" s="9" t="s">
        <v>228</v>
      </c>
      <c r="D9" s="9" t="s">
        <v>116</v>
      </c>
      <c r="E9" s="9" t="s">
        <v>117</v>
      </c>
      <c r="F9" s="9" t="s">
        <v>119</v>
      </c>
      <c r="M9" s="4" t="str">
        <f t="shared" si="5"/>
        <v>Roberto Machado</v>
      </c>
      <c r="Q9" s="36" t="s">
        <v>302</v>
      </c>
      <c r="R9" s="18">
        <v>6.0</v>
      </c>
      <c r="S9" s="18">
        <v>5.0</v>
      </c>
      <c r="T9" s="18">
        <v>0.0</v>
      </c>
      <c r="U9" s="18">
        <f t="shared" si="1"/>
        <v>18</v>
      </c>
      <c r="V9" s="18">
        <v>62.0</v>
      </c>
      <c r="W9" s="18">
        <v>66.0</v>
      </c>
      <c r="X9" s="18">
        <f t="shared" si="2"/>
        <v>-4</v>
      </c>
      <c r="Y9" s="19">
        <v>0.5455</v>
      </c>
      <c r="Z9" s="18">
        <f t="shared" si="3"/>
        <v>11</v>
      </c>
      <c r="AA9" s="18"/>
    </row>
    <row r="10">
      <c r="A10" s="9">
        <v>1.0</v>
      </c>
      <c r="B10" s="4" t="s">
        <v>123</v>
      </c>
      <c r="C10" s="4" t="s">
        <v>121</v>
      </c>
      <c r="D10" s="4" t="s">
        <v>121</v>
      </c>
      <c r="E10" s="24">
        <f t="shared" ref="E10:E19" si="6">sumif($M:$M,B10,$N:$N)</f>
        <v>0</v>
      </c>
      <c r="F10" s="24">
        <f t="shared" ref="F10:F19" si="7">sumif($M:$M,B10,$O:$O)</f>
        <v>0</v>
      </c>
      <c r="H10" s="9"/>
      <c r="I10" s="9"/>
      <c r="J10" s="9"/>
      <c r="K10" s="9"/>
      <c r="L10" s="9"/>
      <c r="M10" s="4" t="str">
        <f t="shared" si="5"/>
        <v>Sergio Filho</v>
      </c>
      <c r="N10" s="5">
        <v>3.0</v>
      </c>
      <c r="Q10" s="36" t="s">
        <v>303</v>
      </c>
      <c r="R10" s="18">
        <v>1.0</v>
      </c>
      <c r="S10" s="18">
        <v>8.0</v>
      </c>
      <c r="T10" s="18">
        <v>2.0</v>
      </c>
      <c r="U10" s="18">
        <f t="shared" si="1"/>
        <v>5</v>
      </c>
      <c r="V10" s="18">
        <v>46.0</v>
      </c>
      <c r="W10" s="18">
        <v>67.0</v>
      </c>
      <c r="X10" s="18">
        <f t="shared" si="2"/>
        <v>-21</v>
      </c>
      <c r="Y10" s="19">
        <v>0.1818</v>
      </c>
      <c r="Z10" s="18">
        <f t="shared" si="3"/>
        <v>11</v>
      </c>
      <c r="AA10" s="18"/>
    </row>
    <row r="11">
      <c r="A11" s="9">
        <v>2.0</v>
      </c>
      <c r="B11" s="4" t="s">
        <v>17</v>
      </c>
      <c r="C11" s="4" t="s">
        <v>121</v>
      </c>
      <c r="D11" s="4" t="s">
        <v>121</v>
      </c>
      <c r="E11" s="24">
        <f t="shared" si="6"/>
        <v>18</v>
      </c>
      <c r="F11" s="24">
        <f t="shared" si="7"/>
        <v>0</v>
      </c>
      <c r="I11" s="34"/>
      <c r="M11" s="5" t="s">
        <v>31</v>
      </c>
      <c r="N11" s="5">
        <v>2.0</v>
      </c>
      <c r="Q11" s="36" t="s">
        <v>304</v>
      </c>
      <c r="R11" s="18">
        <v>0.0</v>
      </c>
      <c r="S11" s="18">
        <v>9.0</v>
      </c>
      <c r="T11" s="18">
        <v>0.0</v>
      </c>
      <c r="U11" s="18">
        <f t="shared" si="1"/>
        <v>0</v>
      </c>
      <c r="V11" s="18">
        <v>28.0</v>
      </c>
      <c r="W11" s="18">
        <v>77.0</v>
      </c>
      <c r="X11" s="18">
        <f t="shared" si="2"/>
        <v>-49</v>
      </c>
      <c r="Y11" s="19">
        <v>0.0</v>
      </c>
      <c r="Z11" s="18">
        <f t="shared" si="3"/>
        <v>9</v>
      </c>
      <c r="AA11" s="18"/>
    </row>
    <row r="12">
      <c r="A12" s="9">
        <v>3.0</v>
      </c>
      <c r="B12" s="4" t="s">
        <v>29</v>
      </c>
      <c r="C12" s="4" t="s">
        <v>121</v>
      </c>
      <c r="D12" s="4" t="s">
        <v>121</v>
      </c>
      <c r="E12" s="24">
        <f t="shared" si="6"/>
        <v>1</v>
      </c>
      <c r="F12" s="24">
        <f t="shared" si="7"/>
        <v>0</v>
      </c>
      <c r="H12" s="40"/>
      <c r="I12" s="40"/>
      <c r="J12" s="40"/>
      <c r="K12" s="40"/>
      <c r="L12" s="40"/>
      <c r="M12" s="40"/>
      <c r="N12" s="40"/>
      <c r="O12" s="40"/>
    </row>
    <row r="13">
      <c r="A13" s="9">
        <v>4.0</v>
      </c>
      <c r="B13" s="4" t="s">
        <v>38</v>
      </c>
      <c r="C13" s="4" t="s">
        <v>121</v>
      </c>
      <c r="D13" s="4" t="s">
        <v>121</v>
      </c>
      <c r="E13" s="24">
        <f t="shared" si="6"/>
        <v>0</v>
      </c>
      <c r="F13" s="24">
        <f t="shared" si="7"/>
        <v>0</v>
      </c>
      <c r="H13" s="5" t="s">
        <v>305</v>
      </c>
      <c r="I13" s="41"/>
      <c r="M13" s="4"/>
      <c r="N13" s="5" t="s">
        <v>87</v>
      </c>
      <c r="O13" s="5" t="s">
        <v>89</v>
      </c>
    </row>
    <row r="14">
      <c r="A14" s="9">
        <v>5.0</v>
      </c>
      <c r="B14" s="4" t="s">
        <v>42</v>
      </c>
      <c r="C14" s="4" t="s">
        <v>121</v>
      </c>
      <c r="D14" s="4" t="s">
        <v>121</v>
      </c>
      <c r="E14" s="24">
        <f t="shared" si="6"/>
        <v>2</v>
      </c>
      <c r="F14" s="24">
        <f t="shared" si="7"/>
        <v>1</v>
      </c>
      <c r="H14" s="5" t="s">
        <v>131</v>
      </c>
      <c r="M14" s="4" t="str">
        <f t="shared" ref="M14:M17" si="8">B10</f>
        <v>Caio Scofield</v>
      </c>
    </row>
    <row r="15">
      <c r="A15" s="9">
        <v>6.0</v>
      </c>
      <c r="B15" s="4" t="s">
        <v>47</v>
      </c>
      <c r="C15" s="4" t="s">
        <v>121</v>
      </c>
      <c r="D15" s="4" t="s">
        <v>121</v>
      </c>
      <c r="E15" s="24">
        <f t="shared" si="6"/>
        <v>2</v>
      </c>
      <c r="F15" s="24">
        <f t="shared" si="7"/>
        <v>1</v>
      </c>
      <c r="H15" s="5" t="s">
        <v>105</v>
      </c>
      <c r="I15" s="5">
        <v>5.0</v>
      </c>
      <c r="J15" s="5">
        <v>5.0</v>
      </c>
      <c r="K15" s="5" t="s">
        <v>213</v>
      </c>
      <c r="M15" s="4" t="str">
        <f t="shared" si="8"/>
        <v>Guilherme Kuster</v>
      </c>
      <c r="N15" s="5">
        <v>1.0</v>
      </c>
    </row>
    <row r="16">
      <c r="A16" s="9">
        <v>7.0</v>
      </c>
      <c r="B16" s="4" t="s">
        <v>49</v>
      </c>
      <c r="C16" s="4" t="s">
        <v>121</v>
      </c>
      <c r="D16" s="4" t="s">
        <v>121</v>
      </c>
      <c r="E16" s="24">
        <f t="shared" si="6"/>
        <v>4</v>
      </c>
      <c r="F16" s="24">
        <f t="shared" si="7"/>
        <v>0</v>
      </c>
      <c r="M16" s="4" t="str">
        <f t="shared" si="8"/>
        <v>Joao Barros</v>
      </c>
    </row>
    <row r="17">
      <c r="A17" s="9">
        <v>8.0</v>
      </c>
      <c r="B17" s="4" t="s">
        <v>51</v>
      </c>
      <c r="C17" s="4" t="s">
        <v>121</v>
      </c>
      <c r="D17" s="4" t="s">
        <v>121</v>
      </c>
      <c r="E17" s="24">
        <f t="shared" si="6"/>
        <v>9</v>
      </c>
      <c r="F17" s="24">
        <f t="shared" si="7"/>
        <v>0</v>
      </c>
      <c r="M17" s="4" t="str">
        <f t="shared" si="8"/>
        <v>Marcelo Dichtchekenian</v>
      </c>
    </row>
    <row r="18">
      <c r="A18" s="9">
        <v>9.0</v>
      </c>
      <c r="B18" s="4" t="s">
        <v>59</v>
      </c>
      <c r="C18" s="4" t="s">
        <v>121</v>
      </c>
      <c r="D18" s="4" t="s">
        <v>121</v>
      </c>
      <c r="E18" s="24">
        <f t="shared" si="6"/>
        <v>3</v>
      </c>
      <c r="F18" s="24">
        <f t="shared" si="7"/>
        <v>3</v>
      </c>
      <c r="M18" s="4" t="str">
        <f t="shared" ref="M18:M20" si="9">B16</f>
        <v>Rafael Mattos</v>
      </c>
    </row>
    <row r="19">
      <c r="A19" s="9">
        <v>10.0</v>
      </c>
      <c r="B19" s="4" t="s">
        <v>63</v>
      </c>
      <c r="C19" s="4" t="s">
        <v>121</v>
      </c>
      <c r="D19" s="4" t="s">
        <v>121</v>
      </c>
      <c r="E19" s="24">
        <f t="shared" si="6"/>
        <v>9</v>
      </c>
      <c r="F19" s="24">
        <f t="shared" si="7"/>
        <v>0</v>
      </c>
      <c r="M19" s="4" t="str">
        <f t="shared" si="9"/>
        <v>Ranieri Filho</v>
      </c>
      <c r="N19" s="5">
        <v>3.0</v>
      </c>
    </row>
    <row r="20">
      <c r="B20" s="9" t="s">
        <v>127</v>
      </c>
      <c r="M20" s="4" t="str">
        <f t="shared" si="9"/>
        <v>Roberto Machado</v>
      </c>
      <c r="O20" s="5">
        <v>1.0</v>
      </c>
    </row>
    <row r="21">
      <c r="B21" s="5" t="s">
        <v>162</v>
      </c>
      <c r="E21" s="24">
        <f t="shared" ref="E21:E30" si="10">sumif($M:$M,B21,$N:$N)</f>
        <v>0</v>
      </c>
      <c r="F21" s="24">
        <f t="shared" ref="F21:F30" si="11">sumif($M:$M,B21,$O:$O)</f>
        <v>0</v>
      </c>
      <c r="H21" s="9"/>
      <c r="I21" s="9"/>
      <c r="J21" s="9"/>
      <c r="K21" s="9"/>
      <c r="L21" s="9"/>
      <c r="M21" s="4" t="s">
        <v>167</v>
      </c>
    </row>
    <row r="22">
      <c r="B22" s="5" t="s">
        <v>167</v>
      </c>
      <c r="E22" s="24">
        <f t="shared" si="10"/>
        <v>2</v>
      </c>
      <c r="F22" s="24">
        <f t="shared" si="11"/>
        <v>0</v>
      </c>
      <c r="I22" s="34"/>
      <c r="M22" s="5" t="s">
        <v>31</v>
      </c>
      <c r="N22" s="5">
        <v>1.0</v>
      </c>
    </row>
    <row r="23">
      <c r="B23" s="5" t="s">
        <v>306</v>
      </c>
      <c r="E23" s="24">
        <f t="shared" si="10"/>
        <v>1</v>
      </c>
      <c r="F23" s="24">
        <f t="shared" si="11"/>
        <v>0</v>
      </c>
      <c r="H23" s="40"/>
      <c r="I23" s="40"/>
      <c r="J23" s="40"/>
      <c r="K23" s="40"/>
      <c r="L23" s="40"/>
      <c r="M23" s="40"/>
      <c r="N23" s="40"/>
      <c r="O23" s="40"/>
    </row>
    <row r="24">
      <c r="B24" s="5" t="s">
        <v>132</v>
      </c>
      <c r="E24" s="24">
        <f t="shared" si="10"/>
        <v>0</v>
      </c>
      <c r="F24" s="24">
        <f t="shared" si="11"/>
        <v>1</v>
      </c>
      <c r="H24" s="5" t="s">
        <v>307</v>
      </c>
      <c r="I24" s="41"/>
      <c r="M24" s="4"/>
      <c r="N24" s="5" t="s">
        <v>87</v>
      </c>
      <c r="O24" s="5" t="s">
        <v>89</v>
      </c>
    </row>
    <row r="25">
      <c r="B25" s="5" t="s">
        <v>308</v>
      </c>
      <c r="E25" s="24">
        <f t="shared" si="10"/>
        <v>0</v>
      </c>
      <c r="F25" s="24">
        <f t="shared" si="11"/>
        <v>0</v>
      </c>
      <c r="H25" s="5" t="s">
        <v>136</v>
      </c>
      <c r="M25" s="4" t="str">
        <f t="shared" ref="M25:M27" si="12">B10</f>
        <v>Caio Scofield</v>
      </c>
    </row>
    <row r="26">
      <c r="B26" s="5" t="s">
        <v>31</v>
      </c>
      <c r="E26" s="24">
        <f t="shared" si="10"/>
        <v>3</v>
      </c>
      <c r="F26" s="24">
        <f t="shared" si="11"/>
        <v>0</v>
      </c>
      <c r="H26" s="5" t="s">
        <v>105</v>
      </c>
      <c r="I26" s="5">
        <v>5.0</v>
      </c>
      <c r="J26" s="5">
        <v>4.0</v>
      </c>
      <c r="K26" s="5" t="s">
        <v>231</v>
      </c>
      <c r="M26" s="4" t="str">
        <f t="shared" si="12"/>
        <v>Guilherme Kuster</v>
      </c>
      <c r="N26" s="5">
        <v>2.0</v>
      </c>
    </row>
    <row r="27">
      <c r="B27" s="5" t="s">
        <v>309</v>
      </c>
      <c r="E27" s="24">
        <f t="shared" si="10"/>
        <v>0</v>
      </c>
      <c r="F27" s="24">
        <f t="shared" si="11"/>
        <v>0</v>
      </c>
      <c r="M27" s="4" t="str">
        <f t="shared" si="12"/>
        <v>Joao Barros</v>
      </c>
    </row>
    <row r="28">
      <c r="B28" s="5" t="s">
        <v>169</v>
      </c>
      <c r="E28" s="24">
        <f t="shared" si="10"/>
        <v>2</v>
      </c>
      <c r="F28" s="24">
        <f t="shared" si="11"/>
        <v>0</v>
      </c>
      <c r="M28" s="4" t="str">
        <f>B14</f>
        <v>Pablo Rodrigues</v>
      </c>
    </row>
    <row r="29">
      <c r="B29" s="5" t="s">
        <v>54</v>
      </c>
      <c r="E29" s="24">
        <f t="shared" si="10"/>
        <v>1</v>
      </c>
      <c r="F29" s="24">
        <f t="shared" si="11"/>
        <v>0</v>
      </c>
      <c r="M29" s="4" t="str">
        <f>B16</f>
        <v>Rafael Mattos</v>
      </c>
      <c r="N29" s="5">
        <v>2.0</v>
      </c>
    </row>
    <row r="30">
      <c r="B30" s="5" t="s">
        <v>202</v>
      </c>
      <c r="E30" s="24">
        <f t="shared" si="10"/>
        <v>3</v>
      </c>
      <c r="F30" s="24">
        <f t="shared" si="11"/>
        <v>0</v>
      </c>
      <c r="M30" s="4" t="str">
        <f>B18</f>
        <v>Roberto Machado</v>
      </c>
    </row>
    <row r="31">
      <c r="E31" s="24">
        <f t="shared" ref="E31:F31" si="13">sum(E10:E30)</f>
        <v>60</v>
      </c>
      <c r="F31" s="24">
        <f t="shared" si="13"/>
        <v>6</v>
      </c>
      <c r="M31" s="4" t="s">
        <v>167</v>
      </c>
    </row>
    <row r="32">
      <c r="B32" s="35"/>
      <c r="H32" s="9"/>
      <c r="I32" s="9"/>
      <c r="J32" s="9"/>
      <c r="K32" s="9"/>
      <c r="L32" s="9"/>
      <c r="M32" s="5" t="s">
        <v>132</v>
      </c>
    </row>
    <row r="33">
      <c r="B33" s="33"/>
      <c r="H33" s="9"/>
      <c r="I33" s="9"/>
      <c r="J33" s="9"/>
      <c r="K33" s="9"/>
      <c r="L33" s="9"/>
      <c r="M33" s="5" t="s">
        <v>31</v>
      </c>
    </row>
    <row r="34">
      <c r="I34" s="34"/>
      <c r="M34" s="5" t="s">
        <v>54</v>
      </c>
      <c r="N34" s="5">
        <v>1.0</v>
      </c>
    </row>
    <row r="35">
      <c r="H35" s="50"/>
      <c r="I35" s="50"/>
      <c r="J35" s="50"/>
      <c r="K35" s="50"/>
      <c r="L35" s="50"/>
      <c r="M35" s="50"/>
      <c r="N35" s="50"/>
      <c r="O35" s="50"/>
    </row>
    <row r="36">
      <c r="H36" s="51" t="s">
        <v>310</v>
      </c>
      <c r="I36" s="52"/>
      <c r="J36" s="53"/>
      <c r="K36" s="53"/>
      <c r="L36" s="53"/>
      <c r="M36" s="53"/>
      <c r="N36" s="53" t="s">
        <v>87</v>
      </c>
      <c r="O36" s="51" t="s">
        <v>287</v>
      </c>
    </row>
    <row r="37">
      <c r="B37" s="33"/>
      <c r="H37" s="51" t="s">
        <v>139</v>
      </c>
      <c r="I37" s="53"/>
      <c r="J37" s="53"/>
      <c r="K37" s="53"/>
      <c r="L37" s="53"/>
      <c r="M37" s="54" t="str">
        <f>B11</f>
        <v>Guilherme Kuster</v>
      </c>
      <c r="N37" s="51">
        <v>3.0</v>
      </c>
      <c r="O37" s="53"/>
    </row>
    <row r="38">
      <c r="B38" s="35"/>
      <c r="H38" s="53" t="s">
        <v>105</v>
      </c>
      <c r="I38" s="55">
        <v>5.0</v>
      </c>
      <c r="J38" s="55">
        <v>3.0</v>
      </c>
      <c r="K38" s="51" t="s">
        <v>219</v>
      </c>
      <c r="L38" s="53"/>
      <c r="M38" s="54" t="str">
        <f t="shared" ref="M38:M44" si="14">B13</f>
        <v>Marcelo Dichtchekenian</v>
      </c>
      <c r="N38" s="56"/>
      <c r="O38" s="53"/>
    </row>
    <row r="39">
      <c r="B39" s="35"/>
      <c r="H39" s="53"/>
      <c r="I39" s="51"/>
      <c r="J39" s="53"/>
      <c r="K39" s="53"/>
      <c r="L39" s="53"/>
      <c r="M39" s="54" t="str">
        <f t="shared" si="14"/>
        <v>Pablo Rodrigues</v>
      </c>
      <c r="N39" s="53"/>
      <c r="O39" s="53"/>
    </row>
    <row r="40">
      <c r="B40" s="35"/>
      <c r="H40" s="53"/>
      <c r="I40" s="53"/>
      <c r="J40" s="53"/>
      <c r="K40" s="53"/>
      <c r="L40" s="53"/>
      <c r="M40" s="54" t="str">
        <f t="shared" si="14"/>
        <v>Rafael Franco</v>
      </c>
      <c r="N40" s="51">
        <v>1.0</v>
      </c>
      <c r="O40" s="53"/>
    </row>
    <row r="41">
      <c r="H41" s="54"/>
      <c r="I41" s="54"/>
      <c r="J41" s="54"/>
      <c r="K41" s="54"/>
      <c r="L41" s="54"/>
      <c r="M41" s="54" t="str">
        <f t="shared" si="14"/>
        <v>Rafael Mattos</v>
      </c>
      <c r="N41" s="56"/>
      <c r="O41" s="53"/>
    </row>
    <row r="42">
      <c r="H42" s="53"/>
      <c r="I42" s="57"/>
      <c r="J42" s="53"/>
      <c r="K42" s="53"/>
      <c r="L42" s="53"/>
      <c r="M42" s="54" t="str">
        <f t="shared" si="14"/>
        <v>Ranieri Filho</v>
      </c>
      <c r="N42" s="53"/>
      <c r="O42" s="53"/>
    </row>
    <row r="43">
      <c r="H43" s="53"/>
      <c r="I43" s="53"/>
      <c r="J43" s="53"/>
      <c r="K43" s="53"/>
      <c r="L43" s="53"/>
      <c r="M43" s="54" t="str">
        <f t="shared" si="14"/>
        <v>Roberto Machado</v>
      </c>
      <c r="N43" s="53"/>
      <c r="O43" s="51">
        <v>1.0</v>
      </c>
    </row>
    <row r="44">
      <c r="H44" s="53"/>
      <c r="I44" s="52"/>
      <c r="J44" s="53"/>
      <c r="K44" s="53"/>
      <c r="L44" s="53"/>
      <c r="M44" s="54" t="str">
        <f t="shared" si="14"/>
        <v>Sergio Filho</v>
      </c>
      <c r="N44" s="51">
        <v>1.0</v>
      </c>
      <c r="O44" s="53"/>
    </row>
    <row r="45">
      <c r="H45" s="50"/>
      <c r="I45" s="50"/>
      <c r="J45" s="50"/>
      <c r="K45" s="50"/>
      <c r="L45" s="50"/>
      <c r="M45" s="50"/>
      <c r="N45" s="50"/>
      <c r="O45" s="50"/>
    </row>
    <row r="46">
      <c r="H46" s="51" t="s">
        <v>311</v>
      </c>
      <c r="I46" s="52"/>
      <c r="J46" s="53"/>
      <c r="K46" s="53"/>
      <c r="L46" s="53"/>
      <c r="M46" s="53"/>
      <c r="N46" s="53" t="s">
        <v>87</v>
      </c>
      <c r="O46" s="51" t="s">
        <v>89</v>
      </c>
    </row>
    <row r="47">
      <c r="H47" s="51" t="s">
        <v>136</v>
      </c>
      <c r="I47" s="53"/>
      <c r="J47" s="53"/>
      <c r="K47" s="53"/>
      <c r="L47" s="53"/>
      <c r="M47" s="54" t="str">
        <f t="shared" ref="M47:M49" si="15">B10</f>
        <v>Caio Scofield</v>
      </c>
      <c r="N47" s="51"/>
      <c r="O47" s="53"/>
    </row>
    <row r="48">
      <c r="H48" s="53" t="s">
        <v>105</v>
      </c>
      <c r="I48" s="55">
        <v>6.0</v>
      </c>
      <c r="J48" s="55">
        <v>4.0</v>
      </c>
      <c r="K48" s="51" t="s">
        <v>312</v>
      </c>
      <c r="L48" s="53"/>
      <c r="M48" s="54" t="str">
        <f t="shared" si="15"/>
        <v>Guilherme Kuster</v>
      </c>
      <c r="N48" s="55">
        <v>3.0</v>
      </c>
      <c r="O48" s="53"/>
    </row>
    <row r="49">
      <c r="H49" s="53"/>
      <c r="I49" s="51"/>
      <c r="J49" s="53"/>
      <c r="K49" s="53"/>
      <c r="L49" s="53"/>
      <c r="M49" s="54" t="str">
        <f t="shared" si="15"/>
        <v>Joao Barros</v>
      </c>
      <c r="N49" s="53"/>
      <c r="O49" s="53"/>
    </row>
    <row r="50">
      <c r="H50" s="53"/>
      <c r="I50" s="53"/>
      <c r="J50" s="53"/>
      <c r="K50" s="53"/>
      <c r="L50" s="53"/>
      <c r="M50" s="54" t="str">
        <f t="shared" ref="M50:M54" si="16">B15</f>
        <v>Rafael Franco</v>
      </c>
      <c r="N50" s="51"/>
      <c r="O50" s="53"/>
    </row>
    <row r="51">
      <c r="H51" s="54"/>
      <c r="I51" s="54"/>
      <c r="J51" s="54"/>
      <c r="K51" s="54"/>
      <c r="L51" s="54"/>
      <c r="M51" s="54" t="str">
        <f t="shared" si="16"/>
        <v>Rafael Mattos</v>
      </c>
      <c r="N51" s="56"/>
      <c r="O51" s="53"/>
    </row>
    <row r="52">
      <c r="H52" s="53"/>
      <c r="I52" s="57"/>
      <c r="J52" s="53"/>
      <c r="K52" s="53"/>
      <c r="L52" s="53"/>
      <c r="M52" s="54" t="str">
        <f t="shared" si="16"/>
        <v>Ranieri Filho</v>
      </c>
      <c r="N52" s="51">
        <v>1.0</v>
      </c>
      <c r="O52" s="53"/>
    </row>
    <row r="53">
      <c r="H53" s="53"/>
      <c r="I53" s="53"/>
      <c r="J53" s="53"/>
      <c r="K53" s="53"/>
      <c r="L53" s="53"/>
      <c r="M53" s="54" t="str">
        <f t="shared" si="16"/>
        <v>Roberto Machado</v>
      </c>
      <c r="N53" s="53"/>
      <c r="O53" s="51"/>
    </row>
    <row r="54">
      <c r="H54" s="53"/>
      <c r="I54" s="52"/>
      <c r="J54" s="53"/>
      <c r="K54" s="53"/>
      <c r="L54" s="53"/>
      <c r="M54" s="54" t="str">
        <f t="shared" si="16"/>
        <v>Sergio Filho</v>
      </c>
      <c r="N54" s="51">
        <v>1.0</v>
      </c>
      <c r="O54" s="53"/>
    </row>
    <row r="55">
      <c r="M55" s="54" t="str">
        <f>B24</f>
        <v>Darley</v>
      </c>
      <c r="O55" s="5">
        <v>1.0</v>
      </c>
    </row>
    <row r="56">
      <c r="M56" s="5" t="str">
        <f>B30</f>
        <v>Rodrigo</v>
      </c>
      <c r="N56" s="5">
        <v>1.0</v>
      </c>
    </row>
    <row r="57">
      <c r="H57" s="50"/>
      <c r="I57" s="50"/>
      <c r="J57" s="50"/>
      <c r="K57" s="50"/>
      <c r="L57" s="50"/>
      <c r="M57" s="50"/>
      <c r="N57" s="50"/>
      <c r="O57" s="50"/>
    </row>
    <row r="58">
      <c r="H58" s="51" t="s">
        <v>313</v>
      </c>
      <c r="I58" s="52"/>
      <c r="J58" s="53"/>
      <c r="K58" s="53"/>
      <c r="L58" s="53"/>
      <c r="M58" s="53"/>
      <c r="N58" s="53" t="s">
        <v>87</v>
      </c>
      <c r="O58" s="51" t="s">
        <v>89</v>
      </c>
    </row>
    <row r="59">
      <c r="H59" s="51" t="s">
        <v>139</v>
      </c>
      <c r="I59" s="53"/>
      <c r="J59" s="53"/>
      <c r="K59" s="53"/>
      <c r="L59" s="53"/>
      <c r="M59" s="54" t="str">
        <f t="shared" ref="M59:M61" si="17">B10</f>
        <v>Caio Scofield</v>
      </c>
      <c r="N59" s="51"/>
      <c r="O59" s="53"/>
    </row>
    <row r="60">
      <c r="H60" s="53" t="s">
        <v>105</v>
      </c>
      <c r="I60" s="55">
        <v>2.0</v>
      </c>
      <c r="J60" s="55">
        <v>3.0</v>
      </c>
      <c r="K60" s="51" t="s">
        <v>234</v>
      </c>
      <c r="L60" s="53"/>
      <c r="M60" s="54" t="str">
        <f t="shared" si="17"/>
        <v>Guilherme Kuster</v>
      </c>
      <c r="N60" s="55">
        <v>1.0</v>
      </c>
      <c r="O60" s="53"/>
    </row>
    <row r="61">
      <c r="H61" s="53"/>
      <c r="I61" s="51"/>
      <c r="J61" s="53"/>
      <c r="K61" s="53"/>
      <c r="L61" s="53"/>
      <c r="M61" s="54" t="str">
        <f t="shared" si="17"/>
        <v>Joao Barros</v>
      </c>
      <c r="N61" s="53"/>
      <c r="O61" s="53"/>
    </row>
    <row r="62">
      <c r="H62" s="53"/>
      <c r="I62" s="53"/>
      <c r="J62" s="53"/>
      <c r="K62" s="53"/>
      <c r="L62" s="53"/>
      <c r="M62" s="54" t="str">
        <f>B14</f>
        <v>Pablo Rodrigues</v>
      </c>
      <c r="N62" s="51"/>
      <c r="O62" s="53"/>
    </row>
    <row r="63">
      <c r="H63" s="54"/>
      <c r="I63" s="54"/>
      <c r="J63" s="54"/>
      <c r="K63" s="54"/>
      <c r="L63" s="54"/>
      <c r="M63" s="54" t="str">
        <f t="shared" ref="M63:M66" si="18">B16</f>
        <v>Rafael Mattos</v>
      </c>
      <c r="N63" s="56"/>
      <c r="O63" s="53"/>
    </row>
    <row r="64">
      <c r="H64" s="53"/>
      <c r="I64" s="57"/>
      <c r="J64" s="53"/>
      <c r="K64" s="53"/>
      <c r="L64" s="53"/>
      <c r="M64" s="54" t="str">
        <f t="shared" si="18"/>
        <v>Ranieri Filho</v>
      </c>
      <c r="N64" s="51"/>
      <c r="O64" s="53"/>
    </row>
    <row r="65">
      <c r="H65" s="53"/>
      <c r="I65" s="53"/>
      <c r="J65" s="53"/>
      <c r="K65" s="53"/>
      <c r="L65" s="53"/>
      <c r="M65" s="54" t="str">
        <f t="shared" si="18"/>
        <v>Roberto Machado</v>
      </c>
      <c r="N65" s="53"/>
      <c r="O65" s="51"/>
    </row>
    <row r="66">
      <c r="H66" s="53"/>
      <c r="I66" s="52"/>
      <c r="J66" s="53"/>
      <c r="K66" s="53"/>
      <c r="L66" s="53"/>
      <c r="M66" s="54" t="str">
        <f t="shared" si="18"/>
        <v>Sergio Filho</v>
      </c>
      <c r="N66" s="51">
        <v>1.0</v>
      </c>
      <c r="O66" s="53"/>
    </row>
    <row r="67">
      <c r="M67" s="54" t="str">
        <f>B24</f>
        <v>Darley</v>
      </c>
    </row>
    <row r="68">
      <c r="H68" s="50"/>
      <c r="I68" s="50"/>
      <c r="J68" s="50"/>
      <c r="K68" s="50"/>
      <c r="L68" s="50"/>
      <c r="M68" s="50"/>
      <c r="N68" s="50"/>
      <c r="O68" s="50"/>
    </row>
    <row r="69">
      <c r="H69" s="51" t="s">
        <v>314</v>
      </c>
      <c r="I69" s="52"/>
      <c r="J69" s="53"/>
      <c r="K69" s="53"/>
      <c r="L69" s="53"/>
      <c r="M69" s="53"/>
      <c r="N69" s="53" t="s">
        <v>87</v>
      </c>
      <c r="O69" s="51" t="s">
        <v>89</v>
      </c>
    </row>
    <row r="70">
      <c r="H70" s="51" t="s">
        <v>102</v>
      </c>
      <c r="I70" s="53"/>
      <c r="J70" s="53"/>
      <c r="K70" s="53"/>
      <c r="L70" s="53"/>
      <c r="M70" s="54" t="str">
        <f t="shared" ref="M70:M72" si="19">B10</f>
        <v>Caio Scofield</v>
      </c>
      <c r="N70" s="51"/>
      <c r="O70" s="53"/>
    </row>
    <row r="71">
      <c r="H71" s="53" t="s">
        <v>105</v>
      </c>
      <c r="I71" s="55">
        <v>6.0</v>
      </c>
      <c r="J71" s="55">
        <v>5.0</v>
      </c>
      <c r="K71" s="51" t="s">
        <v>144</v>
      </c>
      <c r="L71" s="53"/>
      <c r="M71" s="54" t="str">
        <f t="shared" si="19"/>
        <v>Guilherme Kuster</v>
      </c>
      <c r="N71" s="55">
        <v>4.0</v>
      </c>
      <c r="O71" s="53"/>
    </row>
    <row r="72">
      <c r="H72" s="53"/>
      <c r="I72" s="51"/>
      <c r="J72" s="53"/>
      <c r="K72" s="53"/>
      <c r="L72" s="53"/>
      <c r="M72" s="54" t="str">
        <f t="shared" si="19"/>
        <v>Joao Barros</v>
      </c>
      <c r="N72" s="53"/>
      <c r="O72" s="53"/>
    </row>
    <row r="73">
      <c r="M73" s="54" t="str">
        <f>B15</f>
        <v>Rafael Franco</v>
      </c>
    </row>
    <row r="74">
      <c r="M74" s="54" t="str">
        <f t="shared" ref="M74:M75" si="20">B18</f>
        <v>Roberto Machado</v>
      </c>
      <c r="N74" s="5">
        <v>1.0</v>
      </c>
    </row>
    <row r="75">
      <c r="M75" s="54" t="str">
        <f t="shared" si="20"/>
        <v>Sergio Filho</v>
      </c>
      <c r="N75" s="5">
        <v>1.0</v>
      </c>
    </row>
    <row r="76">
      <c r="M76" s="24" t="str">
        <f>B22</f>
        <v>Cleiton</v>
      </c>
    </row>
    <row r="77">
      <c r="M77" s="24" t="str">
        <f>B24</f>
        <v>Darley</v>
      </c>
    </row>
    <row r="78">
      <c r="M78" s="5" t="s">
        <v>169</v>
      </c>
    </row>
    <row r="79">
      <c r="H79" s="50"/>
      <c r="I79" s="50"/>
      <c r="J79" s="50"/>
      <c r="K79" s="50"/>
      <c r="L79" s="50"/>
      <c r="M79" s="50"/>
      <c r="N79" s="50"/>
      <c r="O79" s="50"/>
    </row>
    <row r="80">
      <c r="H80" s="51" t="s">
        <v>315</v>
      </c>
      <c r="I80" s="52"/>
      <c r="J80" s="53"/>
      <c r="K80" s="53"/>
      <c r="L80" s="53"/>
      <c r="M80" s="53"/>
      <c r="N80" s="53" t="s">
        <v>87</v>
      </c>
      <c r="O80" s="51" t="s">
        <v>89</v>
      </c>
    </row>
    <row r="81">
      <c r="H81" s="51" t="s">
        <v>131</v>
      </c>
      <c r="I81" s="53"/>
      <c r="J81" s="53"/>
      <c r="K81" s="53"/>
      <c r="L81" s="53"/>
      <c r="M81" s="54" t="str">
        <f>B12</f>
        <v>Joao Barros</v>
      </c>
      <c r="N81" s="51"/>
      <c r="O81" s="53"/>
    </row>
    <row r="82">
      <c r="H82" s="53" t="s">
        <v>105</v>
      </c>
      <c r="I82" s="55">
        <v>8.0</v>
      </c>
      <c r="J82" s="55">
        <v>12.0</v>
      </c>
      <c r="K82" s="51" t="s">
        <v>185</v>
      </c>
      <c r="L82" s="53"/>
      <c r="M82" s="54" t="str">
        <f t="shared" ref="M82:M83" si="21">B14</f>
        <v>Pablo Rodrigues</v>
      </c>
      <c r="N82" s="55">
        <v>1.0</v>
      </c>
      <c r="O82" s="53"/>
    </row>
    <row r="83">
      <c r="H83" s="53"/>
      <c r="I83" s="51"/>
      <c r="J83" s="53"/>
      <c r="K83" s="53"/>
      <c r="L83" s="53"/>
      <c r="M83" s="54" t="str">
        <f t="shared" si="21"/>
        <v>Rafael Franco</v>
      </c>
      <c r="N83" s="51">
        <v>1.0</v>
      </c>
      <c r="O83" s="53"/>
    </row>
    <row r="84">
      <c r="M84" s="54" t="str">
        <f t="shared" ref="M84:M86" si="22">B17</f>
        <v>Ranieri Filho</v>
      </c>
    </row>
    <row r="85">
      <c r="M85" s="54" t="str">
        <f t="shared" si="22"/>
        <v>Roberto Machado</v>
      </c>
      <c r="N85" s="5">
        <v>1.0</v>
      </c>
    </row>
    <row r="86">
      <c r="M86" s="54" t="str">
        <f t="shared" si="22"/>
        <v>Sergio Filho</v>
      </c>
      <c r="N86" s="5">
        <v>2.0</v>
      </c>
    </row>
    <row r="87">
      <c r="M87" s="24" t="str">
        <f t="shared" ref="M87:M89" si="23">B22</f>
        <v>Cleiton</v>
      </c>
      <c r="N87" s="5">
        <v>2.0</v>
      </c>
    </row>
    <row r="88">
      <c r="M88" s="24" t="str">
        <f t="shared" si="23"/>
        <v>Damiao</v>
      </c>
      <c r="N88" s="5">
        <v>1.0</v>
      </c>
    </row>
    <row r="89">
      <c r="M89" s="24" t="str">
        <f t="shared" si="23"/>
        <v>Darley</v>
      </c>
    </row>
    <row r="90">
      <c r="M90" s="24" t="str">
        <f>B27</f>
        <v>Kevin</v>
      </c>
    </row>
    <row r="91">
      <c r="H91" s="50"/>
      <c r="I91" s="50"/>
      <c r="J91" s="50"/>
      <c r="K91" s="50"/>
      <c r="L91" s="50"/>
      <c r="M91" s="50"/>
      <c r="N91" s="50"/>
      <c r="O91" s="50"/>
    </row>
    <row r="92">
      <c r="H92" s="51" t="s">
        <v>316</v>
      </c>
      <c r="I92" s="52"/>
      <c r="J92" s="53"/>
      <c r="K92" s="53"/>
      <c r="L92" s="53"/>
      <c r="M92" s="53"/>
      <c r="N92" s="53" t="s">
        <v>87</v>
      </c>
      <c r="O92" s="51" t="s">
        <v>89</v>
      </c>
    </row>
    <row r="93">
      <c r="H93" s="51" t="s">
        <v>139</v>
      </c>
      <c r="M93" s="24" t="str">
        <f t="shared" ref="M93:M94" si="24">B11</f>
        <v>Guilherme Kuster</v>
      </c>
      <c r="N93" s="5">
        <v>2.0</v>
      </c>
    </row>
    <row r="94">
      <c r="H94" s="53" t="s">
        <v>105</v>
      </c>
      <c r="I94" s="55">
        <v>5.0</v>
      </c>
      <c r="J94" s="55">
        <v>8.0</v>
      </c>
      <c r="K94" s="51" t="s">
        <v>213</v>
      </c>
      <c r="M94" s="24" t="str">
        <f t="shared" si="24"/>
        <v>Joao Barros</v>
      </c>
    </row>
    <row r="95">
      <c r="M95" s="24" t="str">
        <f>B15</f>
        <v>Rafael Franco</v>
      </c>
      <c r="O95" s="5">
        <v>1.0</v>
      </c>
    </row>
    <row r="96">
      <c r="M96" s="24" t="str">
        <f>B17</f>
        <v>Ranieri Filho</v>
      </c>
    </row>
    <row r="97">
      <c r="M97" s="24" t="str">
        <f t="shared" ref="M97:M98" si="25">B25</f>
        <v>Filipe</v>
      </c>
    </row>
    <row r="98">
      <c r="M98" s="24" t="str">
        <f t="shared" si="25"/>
        <v>Joao Pinto</v>
      </c>
    </row>
    <row r="99">
      <c r="M99" s="24" t="str">
        <f>B28</f>
        <v>Matheus</v>
      </c>
      <c r="N99" s="5">
        <v>1.0</v>
      </c>
    </row>
    <row r="100">
      <c r="M100" s="24" t="str">
        <f>B30</f>
        <v>Rodrigo</v>
      </c>
      <c r="N100" s="5">
        <v>2.0</v>
      </c>
    </row>
    <row r="101">
      <c r="H101" s="50"/>
      <c r="I101" s="50"/>
      <c r="J101" s="50"/>
      <c r="K101" s="50"/>
      <c r="L101" s="50"/>
      <c r="M101" s="50"/>
      <c r="N101" s="50"/>
      <c r="O101" s="50"/>
    </row>
    <row r="102">
      <c r="H102" s="51" t="s">
        <v>317</v>
      </c>
      <c r="I102" s="52"/>
      <c r="J102" s="53"/>
      <c r="K102" s="53"/>
      <c r="L102" s="53"/>
      <c r="M102" s="53"/>
      <c r="N102" s="53" t="s">
        <v>87</v>
      </c>
      <c r="O102" s="51" t="s">
        <v>89</v>
      </c>
    </row>
    <row r="103">
      <c r="H103" s="51" t="s">
        <v>102</v>
      </c>
      <c r="M103" s="24" t="str">
        <f t="shared" ref="M103:M104" si="26">B11</f>
        <v>Guilherme Kuster</v>
      </c>
    </row>
    <row r="104">
      <c r="H104" s="53" t="s">
        <v>105</v>
      </c>
      <c r="I104" s="55">
        <v>1.0</v>
      </c>
      <c r="J104" s="55">
        <v>4.0</v>
      </c>
      <c r="K104" s="51" t="s">
        <v>231</v>
      </c>
      <c r="M104" s="24" t="str">
        <f t="shared" si="26"/>
        <v>Joao Barros</v>
      </c>
    </row>
    <row r="105">
      <c r="M105" s="24" t="str">
        <f t="shared" ref="M105:M107" si="27">B15</f>
        <v>Rafael Franco</v>
      </c>
    </row>
    <row r="106">
      <c r="M106" s="24" t="str">
        <f t="shared" si="27"/>
        <v>Rafael Mattos</v>
      </c>
      <c r="N106" s="5">
        <v>1.0</v>
      </c>
    </row>
    <row r="107">
      <c r="M107" s="24" t="str">
        <f t="shared" si="27"/>
        <v>Ranieri Filho</v>
      </c>
    </row>
    <row r="108">
      <c r="M108" s="24" t="str">
        <f>B19</f>
        <v>Sergio Filho</v>
      </c>
    </row>
    <row r="109">
      <c r="M109" s="5" t="s">
        <v>162</v>
      </c>
    </row>
    <row r="110">
      <c r="H110" s="50"/>
      <c r="I110" s="50"/>
      <c r="J110" s="50"/>
      <c r="K110" s="50"/>
      <c r="L110" s="50"/>
      <c r="M110" s="50"/>
      <c r="N110" s="50"/>
      <c r="O110" s="50"/>
    </row>
    <row r="111">
      <c r="H111" s="51" t="s">
        <v>318</v>
      </c>
      <c r="I111" s="52"/>
      <c r="J111" s="53"/>
      <c r="K111" s="53"/>
      <c r="L111" s="53"/>
      <c r="M111" s="53"/>
      <c r="N111" s="53" t="s">
        <v>87</v>
      </c>
      <c r="O111" s="51" t="s">
        <v>89</v>
      </c>
    </row>
    <row r="112">
      <c r="H112" s="51" t="s">
        <v>139</v>
      </c>
      <c r="M112" s="24" t="str">
        <f t="shared" ref="M112:M114" si="28">B10</f>
        <v>Caio Scofield</v>
      </c>
    </row>
    <row r="113">
      <c r="H113" s="53" t="s">
        <v>105</v>
      </c>
      <c r="I113" s="55">
        <v>3.0</v>
      </c>
      <c r="J113" s="55">
        <v>2.0</v>
      </c>
      <c r="K113" s="5" t="s">
        <v>301</v>
      </c>
      <c r="M113" s="24" t="str">
        <f t="shared" si="28"/>
        <v>Guilherme Kuster</v>
      </c>
      <c r="N113" s="5">
        <v>2.0</v>
      </c>
    </row>
    <row r="114">
      <c r="M114" s="24" t="str">
        <f t="shared" si="28"/>
        <v>Joao Barros</v>
      </c>
    </row>
    <row r="115">
      <c r="M115" s="24" t="str">
        <f t="shared" ref="M115:M118" si="29">B15</f>
        <v>Rafael Franco</v>
      </c>
    </row>
    <row r="116">
      <c r="M116" s="24" t="str">
        <f t="shared" si="29"/>
        <v>Rafael Mattos</v>
      </c>
    </row>
    <row r="117">
      <c r="M117" s="24" t="str">
        <f t="shared" si="29"/>
        <v>Ranieri Filho</v>
      </c>
    </row>
    <row r="118">
      <c r="M118" s="24" t="str">
        <f t="shared" si="29"/>
        <v>Roberto Machado</v>
      </c>
      <c r="O118" s="5">
        <v>1.0</v>
      </c>
    </row>
    <row r="119">
      <c r="M119" s="24" t="str">
        <f>B24</f>
        <v>Darley</v>
      </c>
    </row>
    <row r="120">
      <c r="M120" s="24" t="str">
        <f>B28</f>
        <v>Matheus</v>
      </c>
      <c r="N120" s="5">
        <v>1.0</v>
      </c>
    </row>
    <row r="121">
      <c r="H121" s="50"/>
      <c r="I121" s="50"/>
      <c r="J121" s="50"/>
      <c r="K121" s="50"/>
      <c r="L121" s="50"/>
      <c r="M121" s="50"/>
      <c r="N121" s="50"/>
      <c r="O121" s="50"/>
    </row>
    <row r="122">
      <c r="H122" s="5" t="s">
        <v>319</v>
      </c>
      <c r="M122" s="53"/>
      <c r="N122" s="53" t="s">
        <v>87</v>
      </c>
      <c r="O122" s="51" t="s">
        <v>89</v>
      </c>
    </row>
    <row r="123">
      <c r="H123" s="5" t="s">
        <v>136</v>
      </c>
      <c r="M123" s="24" t="str">
        <f t="shared" ref="M123:M124" si="30">B10</f>
        <v>Caio Scofield</v>
      </c>
    </row>
    <row r="124">
      <c r="H124" s="53" t="s">
        <v>105</v>
      </c>
      <c r="I124" s="55">
        <v>3.0</v>
      </c>
      <c r="J124" s="55">
        <v>3.0</v>
      </c>
      <c r="K124" s="5" t="s">
        <v>219</v>
      </c>
      <c r="M124" s="24" t="str">
        <f t="shared" si="30"/>
        <v>Guilherme Kuster</v>
      </c>
    </row>
    <row r="125">
      <c r="M125" s="24" t="str">
        <f t="shared" ref="M125:M130" si="31">B14</f>
        <v>Pablo Rodrigues</v>
      </c>
      <c r="N125" s="5">
        <v>1.0</v>
      </c>
    </row>
    <row r="126">
      <c r="M126" s="24" t="str">
        <f t="shared" si="31"/>
        <v>Rafael Franco</v>
      </c>
    </row>
    <row r="127">
      <c r="M127" s="24" t="str">
        <f t="shared" si="31"/>
        <v>Rafael Mattos</v>
      </c>
    </row>
    <row r="128">
      <c r="M128" s="24" t="str">
        <f t="shared" si="31"/>
        <v>Ranieri Filho</v>
      </c>
      <c r="N128" s="5">
        <v>1.0</v>
      </c>
    </row>
    <row r="129">
      <c r="M129" s="24" t="str">
        <f t="shared" si="31"/>
        <v>Roberto Machado</v>
      </c>
      <c r="N129" s="5">
        <v>1.0</v>
      </c>
    </row>
    <row r="130">
      <c r="M130" s="24" t="str">
        <f t="shared" si="31"/>
        <v>Sergio Filho</v>
      </c>
    </row>
    <row r="131">
      <c r="M131" s="24" t="str">
        <f>B21</f>
        <v>Arthur</v>
      </c>
    </row>
    <row r="132">
      <c r="H132" s="50"/>
      <c r="I132" s="50"/>
      <c r="J132" s="50"/>
      <c r="K132" s="50"/>
      <c r="L132" s="50"/>
      <c r="M132" s="50"/>
      <c r="N132" s="50"/>
      <c r="O132" s="50"/>
    </row>
  </sheetData>
  <hyperlinks>
    <hyperlink r:id="rId1" location="/online/arenasports/teams/200452" ref="Q3"/>
    <hyperlink r:id="rId2" location="/online/arenasports/teams/200545" ref="Q4"/>
    <hyperlink r:id="rId3" location="/online/arenasports/teams/200445" ref="Q5"/>
    <hyperlink r:id="rId4" location="/online/arenasports/teams/200446" ref="Q6"/>
    <hyperlink r:id="rId5" location="/online/arenasports/teams/200447" ref="Q7"/>
    <hyperlink r:id="rId6" location="/online/arenasports/teams/201038" ref="Q8"/>
    <hyperlink r:id="rId7" location="/online/arenasports/teams/200542" ref="Q9"/>
    <hyperlink r:id="rId8" location="/online/arenasports/teams/200537" ref="Q10"/>
    <hyperlink r:id="rId9" location="/online/arenasports/teams/200715" ref="Q11"/>
  </hyperlinks>
  <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8.75"/>
    <col customWidth="1" min="3" max="6" width="15.13"/>
    <col customWidth="1" min="7" max="7" width="13.13"/>
    <col customWidth="1" min="8" max="14" width="15.38"/>
  </cols>
  <sheetData>
    <row r="1">
      <c r="A1" s="9" t="s">
        <v>82</v>
      </c>
      <c r="B1" s="10" t="s">
        <v>180</v>
      </c>
      <c r="C1" s="10"/>
      <c r="D1" s="10"/>
      <c r="E1" s="10"/>
      <c r="F1" s="10"/>
      <c r="G1" s="10"/>
    </row>
    <row r="2">
      <c r="A2" s="9" t="s">
        <v>84</v>
      </c>
      <c r="B2" s="10" t="s">
        <v>150</v>
      </c>
      <c r="C2" s="12"/>
      <c r="D2" s="12"/>
      <c r="E2" s="12"/>
      <c r="F2" s="12"/>
      <c r="G2" s="12"/>
    </row>
    <row r="3">
      <c r="A3" s="9" t="s">
        <v>100</v>
      </c>
      <c r="B3" s="10" t="s">
        <v>151</v>
      </c>
      <c r="C3" s="10"/>
      <c r="D3" s="10"/>
      <c r="E3" s="10"/>
      <c r="F3" s="10"/>
      <c r="G3" s="10"/>
    </row>
    <row r="4">
      <c r="A4" s="9" t="s">
        <v>104</v>
      </c>
      <c r="B4" s="5">
        <v>12.0</v>
      </c>
    </row>
    <row r="5">
      <c r="A5" s="9" t="s">
        <v>108</v>
      </c>
      <c r="B5" s="58">
        <v>1937.88</v>
      </c>
    </row>
    <row r="6">
      <c r="A6" s="5" t="s">
        <v>155</v>
      </c>
      <c r="B6" s="24">
        <f>COUNTA(B10:B22)</f>
        <v>12</v>
      </c>
      <c r="E6" s="5" t="s">
        <v>320</v>
      </c>
    </row>
    <row r="7">
      <c r="A7" s="25"/>
      <c r="B7" s="9"/>
      <c r="C7" s="9"/>
      <c r="D7" s="9"/>
      <c r="E7" s="5" t="s">
        <v>321</v>
      </c>
    </row>
    <row r="8">
      <c r="A8" s="25"/>
      <c r="B8" s="9" t="s">
        <v>114</v>
      </c>
      <c r="C8" s="9" t="s">
        <v>263</v>
      </c>
      <c r="D8" s="9" t="s">
        <v>322</v>
      </c>
      <c r="E8" s="5" t="s">
        <v>323</v>
      </c>
    </row>
    <row r="9">
      <c r="A9" s="25"/>
      <c r="B9" s="5"/>
      <c r="D9" s="9"/>
      <c r="E9" s="9"/>
      <c r="J9" s="9"/>
      <c r="K9" s="9"/>
      <c r="L9" s="9"/>
      <c r="M9" s="9"/>
      <c r="N9" s="9"/>
    </row>
    <row r="10">
      <c r="A10" s="9">
        <v>1.0</v>
      </c>
      <c r="B10" s="5" t="s">
        <v>324</v>
      </c>
      <c r="C10" s="4" t="s">
        <v>10</v>
      </c>
      <c r="D10" s="9" t="s">
        <v>16</v>
      </c>
      <c r="E10" s="59" t="s">
        <v>325</v>
      </c>
      <c r="F10" s="60">
        <f t="shared" ref="F10:F21" si="1">$B$5/$B$6</f>
        <v>161.49</v>
      </c>
      <c r="G10" s="61">
        <f t="shared" ref="G10:G20" si="2">$F$20/counta($E$10:$E$20)</f>
        <v>14.68090909</v>
      </c>
    </row>
    <row r="11">
      <c r="A11" s="9">
        <v>2.0</v>
      </c>
      <c r="B11" s="5" t="s">
        <v>17</v>
      </c>
      <c r="C11" s="4" t="s">
        <v>10</v>
      </c>
      <c r="D11" s="9" t="s">
        <v>19</v>
      </c>
      <c r="E11" s="59" t="s">
        <v>325</v>
      </c>
      <c r="F11" s="60">
        <f t="shared" si="1"/>
        <v>161.49</v>
      </c>
      <c r="G11" s="61">
        <f t="shared" si="2"/>
        <v>14.68090909</v>
      </c>
    </row>
    <row r="12">
      <c r="A12" s="9">
        <v>3.0</v>
      </c>
      <c r="B12" s="5" t="s">
        <v>167</v>
      </c>
      <c r="C12" s="4" t="s">
        <v>10</v>
      </c>
      <c r="D12" s="30">
        <f>14253820839</f>
        <v>14253820839</v>
      </c>
      <c r="E12" s="59" t="s">
        <v>325</v>
      </c>
      <c r="F12" s="60">
        <f t="shared" si="1"/>
        <v>161.49</v>
      </c>
      <c r="G12" s="61">
        <f t="shared" si="2"/>
        <v>14.68090909</v>
      </c>
      <c r="H12" s="59" t="s">
        <v>325</v>
      </c>
    </row>
    <row r="13">
      <c r="A13" s="9">
        <v>4.0</v>
      </c>
      <c r="B13" s="5" t="s">
        <v>31</v>
      </c>
      <c r="C13" s="4" t="s">
        <v>10</v>
      </c>
      <c r="D13" s="9" t="s">
        <v>33</v>
      </c>
      <c r="E13" s="59" t="s">
        <v>325</v>
      </c>
      <c r="F13" s="60">
        <f t="shared" si="1"/>
        <v>161.49</v>
      </c>
      <c r="G13" s="61">
        <f t="shared" si="2"/>
        <v>14.68090909</v>
      </c>
    </row>
    <row r="14">
      <c r="A14" s="9">
        <v>5.0</v>
      </c>
      <c r="B14" s="5" t="s">
        <v>51</v>
      </c>
      <c r="C14" s="4" t="s">
        <v>10</v>
      </c>
      <c r="D14" s="9" t="s">
        <v>53</v>
      </c>
      <c r="E14" s="59" t="s">
        <v>325</v>
      </c>
      <c r="F14" s="60">
        <f t="shared" si="1"/>
        <v>161.49</v>
      </c>
      <c r="G14" s="61">
        <f t="shared" si="2"/>
        <v>14.68090909</v>
      </c>
      <c r="H14" s="59" t="s">
        <v>325</v>
      </c>
    </row>
    <row r="15">
      <c r="A15" s="9">
        <v>6.0</v>
      </c>
      <c r="B15" s="5" t="s">
        <v>168</v>
      </c>
      <c r="C15" s="4" t="s">
        <v>10</v>
      </c>
      <c r="D15" s="9" t="s">
        <v>65</v>
      </c>
      <c r="E15" s="59" t="s">
        <v>325</v>
      </c>
      <c r="F15" s="60">
        <f t="shared" si="1"/>
        <v>161.49</v>
      </c>
      <c r="G15" s="61">
        <f t="shared" si="2"/>
        <v>14.68090909</v>
      </c>
      <c r="H15" s="59" t="s">
        <v>325</v>
      </c>
    </row>
    <row r="16">
      <c r="A16" s="9">
        <v>7.0</v>
      </c>
      <c r="B16" s="5" t="s">
        <v>326</v>
      </c>
      <c r="C16" s="4" t="s">
        <v>10</v>
      </c>
      <c r="D16" s="9" t="s">
        <v>44</v>
      </c>
      <c r="E16" s="59" t="s">
        <v>325</v>
      </c>
      <c r="F16" s="60">
        <f t="shared" si="1"/>
        <v>161.49</v>
      </c>
      <c r="G16" s="61">
        <f t="shared" si="2"/>
        <v>14.68090909</v>
      </c>
    </row>
    <row r="17">
      <c r="A17" s="9">
        <v>8.0</v>
      </c>
      <c r="B17" s="5" t="s">
        <v>54</v>
      </c>
      <c r="C17" s="4" t="s">
        <v>10</v>
      </c>
      <c r="D17" s="9" t="s">
        <v>56</v>
      </c>
      <c r="E17" s="59" t="s">
        <v>325</v>
      </c>
      <c r="F17" s="60">
        <f t="shared" si="1"/>
        <v>161.49</v>
      </c>
      <c r="G17" s="61">
        <f t="shared" si="2"/>
        <v>14.68090909</v>
      </c>
    </row>
    <row r="18">
      <c r="A18" s="9">
        <v>9.0</v>
      </c>
      <c r="B18" s="5" t="s">
        <v>38</v>
      </c>
      <c r="C18" s="4" t="s">
        <v>10</v>
      </c>
      <c r="D18" s="9" t="s">
        <v>39</v>
      </c>
      <c r="E18" s="59" t="s">
        <v>325</v>
      </c>
      <c r="F18" s="60">
        <f t="shared" si="1"/>
        <v>161.49</v>
      </c>
      <c r="G18" s="61">
        <f t="shared" si="2"/>
        <v>14.68090909</v>
      </c>
      <c r="H18" s="59" t="s">
        <v>325</v>
      </c>
    </row>
    <row r="19">
      <c r="A19" s="9">
        <v>10.0</v>
      </c>
      <c r="B19" s="5" t="s">
        <v>327</v>
      </c>
      <c r="C19" s="4" t="s">
        <v>10</v>
      </c>
      <c r="D19" s="9" t="s">
        <v>328</v>
      </c>
      <c r="E19" s="59" t="s">
        <v>325</v>
      </c>
      <c r="F19" s="60">
        <f t="shared" si="1"/>
        <v>161.49</v>
      </c>
      <c r="G19" s="61">
        <f t="shared" si="2"/>
        <v>14.68090909</v>
      </c>
    </row>
    <row r="20">
      <c r="A20" s="9">
        <v>11.0</v>
      </c>
      <c r="B20" s="5" t="s">
        <v>40</v>
      </c>
      <c r="C20" s="4" t="s">
        <v>10</v>
      </c>
      <c r="D20" s="30" t="s">
        <v>329</v>
      </c>
      <c r="E20" s="59" t="s">
        <v>325</v>
      </c>
      <c r="F20" s="60">
        <f t="shared" si="1"/>
        <v>161.49</v>
      </c>
      <c r="G20" s="61">
        <f t="shared" si="2"/>
        <v>14.68090909</v>
      </c>
      <c r="H20" s="59" t="s">
        <v>325</v>
      </c>
    </row>
    <row r="21">
      <c r="A21" s="9">
        <v>12.0</v>
      </c>
      <c r="B21" s="5" t="s">
        <v>61</v>
      </c>
      <c r="C21" s="4" t="s">
        <v>10</v>
      </c>
      <c r="D21" s="4" t="s">
        <v>330</v>
      </c>
      <c r="E21" s="62" t="s">
        <v>331</v>
      </c>
      <c r="F21" s="60">
        <f t="shared" si="1"/>
        <v>161.49</v>
      </c>
      <c r="H21" s="9"/>
    </row>
    <row r="22">
      <c r="A22" s="9"/>
      <c r="C22" s="4"/>
      <c r="D22" s="30"/>
      <c r="E22" s="9"/>
      <c r="F22" s="60"/>
      <c r="H22" s="9"/>
    </row>
    <row r="23">
      <c r="A23" s="9"/>
      <c r="C23" s="4"/>
      <c r="D23" s="4"/>
      <c r="E23" s="4"/>
      <c r="F23" s="63"/>
      <c r="H23" s="9"/>
    </row>
    <row r="24">
      <c r="A24" s="9"/>
      <c r="C24" s="4"/>
      <c r="D24" s="4"/>
      <c r="E24" s="4"/>
      <c r="F24" s="64"/>
      <c r="H24" s="9"/>
    </row>
    <row r="25">
      <c r="H25" s="9"/>
    </row>
    <row r="26">
      <c r="H26" s="9"/>
    </row>
    <row r="27">
      <c r="H27" s="9"/>
    </row>
    <row r="28">
      <c r="H28" s="9"/>
    </row>
    <row r="29">
      <c r="H29" s="9"/>
    </row>
    <row r="33">
      <c r="B33" s="33"/>
    </row>
    <row r="34">
      <c r="B34" s="33"/>
    </row>
    <row r="35">
      <c r="B35" s="35"/>
    </row>
    <row r="36">
      <c r="B36" s="33"/>
    </row>
    <row r="37">
      <c r="B37" s="35"/>
    </row>
    <row r="38">
      <c r="B38" s="33"/>
    </row>
    <row r="42">
      <c r="B42" s="33"/>
    </row>
    <row r="43">
      <c r="B43" s="35"/>
    </row>
    <row r="44">
      <c r="B44" s="35"/>
    </row>
    <row r="45">
      <c r="B45" s="3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8.75"/>
    <col customWidth="1" min="3" max="6" width="15.13"/>
    <col customWidth="1" min="7" max="7" width="13.13"/>
    <col customWidth="1" min="8" max="14" width="15.38"/>
  </cols>
  <sheetData>
    <row r="1">
      <c r="A1" s="9" t="s">
        <v>82</v>
      </c>
      <c r="B1" s="10" t="s">
        <v>299</v>
      </c>
      <c r="C1" s="10"/>
      <c r="D1" s="10"/>
      <c r="E1" s="10"/>
      <c r="F1" s="10"/>
      <c r="G1" s="10"/>
    </row>
    <row r="2">
      <c r="A2" s="9" t="s">
        <v>84</v>
      </c>
      <c r="B2" s="10" t="s">
        <v>150</v>
      </c>
      <c r="C2" s="12"/>
      <c r="D2" s="12"/>
      <c r="E2" s="12"/>
      <c r="F2" s="12"/>
      <c r="G2" s="12"/>
    </row>
    <row r="3">
      <c r="A3" s="9" t="s">
        <v>100</v>
      </c>
      <c r="B3" s="10" t="s">
        <v>151</v>
      </c>
      <c r="C3" s="10"/>
      <c r="D3" s="10"/>
      <c r="E3" s="10"/>
      <c r="F3" s="10"/>
      <c r="G3" s="10"/>
    </row>
    <row r="4">
      <c r="A4" s="9" t="s">
        <v>104</v>
      </c>
      <c r="B4" s="5">
        <v>12.0</v>
      </c>
    </row>
    <row r="5">
      <c r="A5" s="9" t="s">
        <v>108</v>
      </c>
      <c r="B5" s="20">
        <f>1850*(1+0.0475)</f>
        <v>1937.875</v>
      </c>
    </row>
    <row r="6">
      <c r="A6" s="5" t="s">
        <v>155</v>
      </c>
      <c r="B6" s="24">
        <f>COUNTA(B11:B22)</f>
        <v>12</v>
      </c>
    </row>
    <row r="7">
      <c r="A7" s="25"/>
      <c r="B7" s="9"/>
      <c r="C7" s="9"/>
    </row>
    <row r="8">
      <c r="A8" s="25"/>
      <c r="B8" s="9" t="s">
        <v>114</v>
      </c>
      <c r="C8" s="9" t="s">
        <v>157</v>
      </c>
      <c r="F8" s="9" t="s">
        <v>332</v>
      </c>
    </row>
    <row r="9">
      <c r="A9" s="25"/>
      <c r="B9" s="5"/>
      <c r="E9" s="9" t="s">
        <v>322</v>
      </c>
      <c r="J9" s="9"/>
      <c r="K9" s="9"/>
      <c r="L9" s="9"/>
      <c r="M9" s="9"/>
      <c r="N9" s="9"/>
    </row>
    <row r="10">
      <c r="A10" s="9">
        <v>1.0</v>
      </c>
      <c r="B10" s="5" t="s">
        <v>31</v>
      </c>
      <c r="C10" s="4" t="s">
        <v>333</v>
      </c>
      <c r="D10" s="23">
        <f t="shared" ref="D10:D22" si="1">$B$5/COUNTIFS($C$10:$C$25,"Yes")</f>
        <v>149.0673077</v>
      </c>
      <c r="E10" s="9" t="s">
        <v>33</v>
      </c>
      <c r="F10" s="65" t="s">
        <v>333</v>
      </c>
    </row>
    <row r="11">
      <c r="A11" s="9">
        <v>2.0</v>
      </c>
      <c r="B11" s="5" t="s">
        <v>324</v>
      </c>
      <c r="C11" s="4" t="s">
        <v>333</v>
      </c>
      <c r="D11" s="23">
        <f t="shared" si="1"/>
        <v>149.0673077</v>
      </c>
      <c r="E11" s="9" t="s">
        <v>16</v>
      </c>
      <c r="F11" s="65" t="s">
        <v>333</v>
      </c>
    </row>
    <row r="12">
      <c r="A12" s="9">
        <v>3.0</v>
      </c>
      <c r="B12" s="5" t="s">
        <v>17</v>
      </c>
      <c r="C12" s="4" t="s">
        <v>333</v>
      </c>
      <c r="D12" s="23">
        <f t="shared" si="1"/>
        <v>149.0673077</v>
      </c>
      <c r="E12" s="9" t="s">
        <v>19</v>
      </c>
      <c r="F12" s="65" t="s">
        <v>333</v>
      </c>
    </row>
    <row r="13">
      <c r="A13" s="9">
        <v>4.0</v>
      </c>
      <c r="B13" s="5" t="s">
        <v>167</v>
      </c>
      <c r="C13" s="4" t="s">
        <v>333</v>
      </c>
      <c r="D13" s="23">
        <f t="shared" si="1"/>
        <v>149.0673077</v>
      </c>
      <c r="E13" s="30">
        <f>14253820839</f>
        <v>14253820839</v>
      </c>
    </row>
    <row r="14">
      <c r="A14" s="9">
        <v>5.0</v>
      </c>
      <c r="B14" s="5" t="s">
        <v>51</v>
      </c>
      <c r="C14" s="4" t="s">
        <v>333</v>
      </c>
      <c r="D14" s="23">
        <f t="shared" si="1"/>
        <v>149.0673077</v>
      </c>
      <c r="E14" s="9" t="s">
        <v>53</v>
      </c>
      <c r="F14" s="65" t="s">
        <v>333</v>
      </c>
    </row>
    <row r="15">
      <c r="A15" s="9">
        <v>6.0</v>
      </c>
      <c r="B15" s="5" t="s">
        <v>168</v>
      </c>
      <c r="C15" s="4" t="s">
        <v>333</v>
      </c>
      <c r="D15" s="23">
        <f t="shared" si="1"/>
        <v>149.0673077</v>
      </c>
      <c r="E15" s="9" t="s">
        <v>65</v>
      </c>
      <c r="F15" s="65" t="s">
        <v>333</v>
      </c>
    </row>
    <row r="16">
      <c r="A16" s="9">
        <v>7.0</v>
      </c>
      <c r="B16" s="5" t="s">
        <v>326</v>
      </c>
      <c r="C16" s="4" t="s">
        <v>333</v>
      </c>
      <c r="D16" s="23">
        <f t="shared" si="1"/>
        <v>149.0673077</v>
      </c>
      <c r="E16" s="9" t="s">
        <v>44</v>
      </c>
      <c r="F16" s="65" t="s">
        <v>333</v>
      </c>
    </row>
    <row r="17">
      <c r="A17" s="9">
        <v>8.0</v>
      </c>
      <c r="B17" s="5" t="s">
        <v>54</v>
      </c>
      <c r="C17" s="4" t="s">
        <v>333</v>
      </c>
      <c r="D17" s="23">
        <f t="shared" si="1"/>
        <v>149.0673077</v>
      </c>
      <c r="E17" s="9" t="s">
        <v>56</v>
      </c>
      <c r="F17" s="65" t="s">
        <v>333</v>
      </c>
    </row>
    <row r="18">
      <c r="A18" s="9">
        <v>9.0</v>
      </c>
      <c r="B18" s="5" t="s">
        <v>13</v>
      </c>
      <c r="C18" s="4" t="s">
        <v>333</v>
      </c>
      <c r="D18" s="23">
        <f t="shared" si="1"/>
        <v>149.0673077</v>
      </c>
      <c r="F18" s="65" t="s">
        <v>333</v>
      </c>
    </row>
    <row r="19">
      <c r="A19" s="9">
        <v>10.0</v>
      </c>
      <c r="B19" s="5" t="s">
        <v>327</v>
      </c>
      <c r="C19" s="4" t="s">
        <v>333</v>
      </c>
      <c r="D19" s="23">
        <f t="shared" si="1"/>
        <v>149.0673077</v>
      </c>
      <c r="E19" s="9" t="s">
        <v>328</v>
      </c>
      <c r="F19" s="5" t="s">
        <v>331</v>
      </c>
    </row>
    <row r="20">
      <c r="A20" s="9">
        <v>11.0</v>
      </c>
      <c r="B20" s="5" t="s">
        <v>40</v>
      </c>
      <c r="C20" s="4" t="s">
        <v>333</v>
      </c>
      <c r="D20" s="23">
        <f t="shared" si="1"/>
        <v>149.0673077</v>
      </c>
      <c r="E20" s="30" t="s">
        <v>329</v>
      </c>
      <c r="F20" s="65" t="s">
        <v>333</v>
      </c>
    </row>
    <row r="21">
      <c r="A21" s="9">
        <v>12.0</v>
      </c>
      <c r="B21" s="5" t="s">
        <v>334</v>
      </c>
      <c r="C21" s="4" t="s">
        <v>333</v>
      </c>
      <c r="D21" s="23">
        <f t="shared" si="1"/>
        <v>149.0673077</v>
      </c>
    </row>
    <row r="22">
      <c r="A22" s="9">
        <v>13.0</v>
      </c>
      <c r="B22" s="5" t="s">
        <v>335</v>
      </c>
      <c r="C22" s="4" t="s">
        <v>333</v>
      </c>
      <c r="D22" s="23">
        <f t="shared" si="1"/>
        <v>149.0673077</v>
      </c>
      <c r="E22" s="5" t="s">
        <v>336</v>
      </c>
      <c r="F22" s="65" t="s">
        <v>333</v>
      </c>
    </row>
    <row r="23">
      <c r="A23" s="9"/>
      <c r="C23" s="4"/>
      <c r="D23" s="4"/>
      <c r="E23" s="4"/>
      <c r="F23" s="63"/>
      <c r="H23" s="9"/>
    </row>
    <row r="24">
      <c r="A24" s="9"/>
      <c r="C24" s="4"/>
      <c r="D24" s="4"/>
      <c r="E24" s="4"/>
      <c r="F24" s="64"/>
      <c r="H24" s="9"/>
    </row>
    <row r="25">
      <c r="H25" s="9"/>
    </row>
    <row r="26">
      <c r="H26" s="9"/>
    </row>
    <row r="27">
      <c r="H27" s="9"/>
    </row>
    <row r="28">
      <c r="H28" s="9"/>
    </row>
    <row r="29">
      <c r="H29" s="9"/>
    </row>
    <row r="33">
      <c r="B33" s="33"/>
    </row>
    <row r="34">
      <c r="B34" s="33"/>
    </row>
    <row r="35">
      <c r="B35" s="35"/>
    </row>
    <row r="36">
      <c r="B36" s="33"/>
    </row>
    <row r="37">
      <c r="B37" s="35"/>
    </row>
    <row r="38">
      <c r="B38" s="33"/>
    </row>
    <row r="42">
      <c r="B42" s="33"/>
    </row>
    <row r="43">
      <c r="B43" s="35"/>
    </row>
    <row r="44">
      <c r="B44" s="35"/>
    </row>
    <row r="45">
      <c r="B45" s="3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8.75"/>
    <col customWidth="1" min="3" max="6" width="15.13"/>
    <col customWidth="1" min="7" max="7" width="3.13"/>
    <col customWidth="1" min="8" max="14" width="15.38"/>
  </cols>
  <sheetData>
    <row r="1">
      <c r="A1" s="9" t="s">
        <v>82</v>
      </c>
      <c r="B1" s="10" t="s">
        <v>180</v>
      </c>
      <c r="C1" s="10"/>
      <c r="D1" s="10"/>
      <c r="E1" s="10"/>
      <c r="F1" s="10"/>
      <c r="G1" s="10"/>
    </row>
    <row r="2">
      <c r="A2" s="9" t="s">
        <v>84</v>
      </c>
      <c r="B2" s="10" t="s">
        <v>150</v>
      </c>
      <c r="C2" s="12"/>
      <c r="D2" s="12"/>
      <c r="E2" s="12"/>
      <c r="F2" s="12"/>
      <c r="G2" s="12"/>
    </row>
    <row r="3">
      <c r="A3" s="9" t="s">
        <v>100</v>
      </c>
      <c r="B3" s="10" t="s">
        <v>151</v>
      </c>
      <c r="C3" s="10"/>
      <c r="D3" s="10"/>
      <c r="E3" s="10"/>
      <c r="F3" s="10"/>
      <c r="G3" s="10"/>
    </row>
    <row r="4">
      <c r="A4" s="9" t="s">
        <v>104</v>
      </c>
      <c r="B4" s="5">
        <v>12.0</v>
      </c>
    </row>
    <row r="5">
      <c r="A5" s="9" t="s">
        <v>108</v>
      </c>
      <c r="B5" s="58">
        <v>1937.88</v>
      </c>
    </row>
    <row r="6">
      <c r="A6" s="5" t="s">
        <v>155</v>
      </c>
      <c r="B6" s="24">
        <f>COUNTA(B10:B22)</f>
        <v>13</v>
      </c>
    </row>
    <row r="7">
      <c r="A7" s="25"/>
      <c r="B7" s="9"/>
      <c r="C7" s="9"/>
      <c r="D7" s="9"/>
      <c r="E7" s="5"/>
    </row>
    <row r="8">
      <c r="A8" s="25"/>
      <c r="B8" s="9" t="s">
        <v>114</v>
      </c>
      <c r="C8" s="9" t="s">
        <v>263</v>
      </c>
      <c r="D8" s="9" t="s">
        <v>322</v>
      </c>
      <c r="E8" s="5" t="s">
        <v>323</v>
      </c>
    </row>
    <row r="9">
      <c r="A9" s="25"/>
      <c r="B9" s="5"/>
      <c r="D9" s="9"/>
      <c r="E9" s="9"/>
      <c r="J9" s="9"/>
      <c r="K9" s="9"/>
      <c r="L9" s="9"/>
      <c r="M9" s="9"/>
      <c r="N9" s="9"/>
    </row>
    <row r="10">
      <c r="A10" s="9">
        <v>1.0</v>
      </c>
      <c r="B10" s="5" t="s">
        <v>324</v>
      </c>
      <c r="C10" s="4" t="s">
        <v>10</v>
      </c>
      <c r="D10" s="9" t="s">
        <v>16</v>
      </c>
      <c r="E10" s="65" t="s">
        <v>267</v>
      </c>
      <c r="F10" s="60">
        <f t="shared" ref="F10:F22" si="1">$B$5/$B$6</f>
        <v>149.0676923</v>
      </c>
    </row>
    <row r="11">
      <c r="A11" s="9">
        <v>2.0</v>
      </c>
      <c r="B11" s="5" t="s">
        <v>17</v>
      </c>
      <c r="C11" s="4" t="s">
        <v>10</v>
      </c>
      <c r="D11" s="9" t="s">
        <v>19</v>
      </c>
      <c r="E11" s="65" t="s">
        <v>267</v>
      </c>
      <c r="F11" s="60">
        <f t="shared" si="1"/>
        <v>149.0676923</v>
      </c>
    </row>
    <row r="12">
      <c r="A12" s="9">
        <v>3.0</v>
      </c>
      <c r="B12" s="5" t="s">
        <v>167</v>
      </c>
      <c r="C12" s="4" t="s">
        <v>10</v>
      </c>
      <c r="D12" s="30">
        <f>14253820839</f>
        <v>14253820839</v>
      </c>
      <c r="E12" s="5" t="s">
        <v>337</v>
      </c>
      <c r="F12" s="60">
        <f t="shared" si="1"/>
        <v>149.0676923</v>
      </c>
    </row>
    <row r="13">
      <c r="A13" s="9">
        <v>4.0</v>
      </c>
      <c r="B13" s="5" t="s">
        <v>31</v>
      </c>
      <c r="C13" s="4" t="s">
        <v>10</v>
      </c>
      <c r="D13" s="9" t="s">
        <v>33</v>
      </c>
      <c r="E13" s="66" t="s">
        <v>267</v>
      </c>
      <c r="F13" s="60">
        <f t="shared" si="1"/>
        <v>149.0676923</v>
      </c>
    </row>
    <row r="14">
      <c r="A14" s="9">
        <v>5.0</v>
      </c>
      <c r="B14" s="5" t="s">
        <v>20</v>
      </c>
      <c r="C14" s="4" t="s">
        <v>10</v>
      </c>
      <c r="D14" s="9" t="s">
        <v>22</v>
      </c>
      <c r="E14" s="66" t="s">
        <v>267</v>
      </c>
      <c r="F14" s="60">
        <f t="shared" si="1"/>
        <v>149.0676923</v>
      </c>
    </row>
    <row r="15">
      <c r="A15" s="9">
        <v>6.0</v>
      </c>
      <c r="B15" s="5" t="s">
        <v>168</v>
      </c>
      <c r="C15" s="4" t="s">
        <v>10</v>
      </c>
      <c r="D15" s="9" t="s">
        <v>65</v>
      </c>
      <c r="E15" s="65" t="s">
        <v>267</v>
      </c>
      <c r="F15" s="60">
        <f t="shared" si="1"/>
        <v>149.0676923</v>
      </c>
    </row>
    <row r="16">
      <c r="A16" s="9">
        <v>7.0</v>
      </c>
      <c r="B16" s="5" t="s">
        <v>338</v>
      </c>
      <c r="C16" s="4" t="s">
        <v>10</v>
      </c>
      <c r="D16" s="9" t="s">
        <v>35</v>
      </c>
      <c r="E16" s="65" t="s">
        <v>267</v>
      </c>
      <c r="F16" s="60">
        <f t="shared" si="1"/>
        <v>149.0676923</v>
      </c>
    </row>
    <row r="17">
      <c r="A17" s="9">
        <v>8.0</v>
      </c>
      <c r="B17" s="5" t="s">
        <v>326</v>
      </c>
      <c r="C17" s="4" t="s">
        <v>10</v>
      </c>
      <c r="D17" s="9" t="s">
        <v>44</v>
      </c>
      <c r="E17" s="65" t="s">
        <v>267</v>
      </c>
      <c r="F17" s="60">
        <f t="shared" si="1"/>
        <v>149.0676923</v>
      </c>
    </row>
    <row r="18">
      <c r="A18" s="9">
        <v>9.0</v>
      </c>
      <c r="B18" s="5" t="s">
        <v>54</v>
      </c>
      <c r="C18" s="4" t="s">
        <v>10</v>
      </c>
      <c r="D18" s="9" t="s">
        <v>56</v>
      </c>
      <c r="E18" s="65" t="s">
        <v>267</v>
      </c>
      <c r="F18" s="60">
        <f t="shared" si="1"/>
        <v>149.0676923</v>
      </c>
    </row>
    <row r="19">
      <c r="A19" s="9">
        <v>10.0</v>
      </c>
      <c r="B19" s="5" t="s">
        <v>51</v>
      </c>
      <c r="C19" s="4" t="s">
        <v>10</v>
      </c>
      <c r="D19" s="9" t="s">
        <v>53</v>
      </c>
      <c r="E19" s="65" t="s">
        <v>267</v>
      </c>
      <c r="F19" s="60">
        <f t="shared" si="1"/>
        <v>149.0676923</v>
      </c>
    </row>
    <row r="20">
      <c r="A20" s="9">
        <v>11.0</v>
      </c>
      <c r="B20" s="5" t="s">
        <v>283</v>
      </c>
      <c r="C20" s="4" t="s">
        <v>10</v>
      </c>
      <c r="D20" s="30" t="s">
        <v>26</v>
      </c>
      <c r="E20" s="65" t="s">
        <v>267</v>
      </c>
      <c r="F20" s="60">
        <f t="shared" si="1"/>
        <v>149.0676923</v>
      </c>
      <c r="H20" s="9"/>
    </row>
    <row r="21">
      <c r="A21" s="9">
        <v>12.0</v>
      </c>
      <c r="B21" s="5" t="s">
        <v>339</v>
      </c>
      <c r="C21" s="4" t="s">
        <v>10</v>
      </c>
      <c r="D21" s="4"/>
      <c r="E21" s="5" t="s">
        <v>337</v>
      </c>
      <c r="F21" s="60">
        <f t="shared" si="1"/>
        <v>149.0676923</v>
      </c>
      <c r="H21" s="9"/>
    </row>
    <row r="22">
      <c r="A22" s="9">
        <v>13.0</v>
      </c>
      <c r="B22" s="5" t="s">
        <v>284</v>
      </c>
      <c r="C22" s="4" t="s">
        <v>10</v>
      </c>
      <c r="D22" s="30" t="s">
        <v>79</v>
      </c>
      <c r="E22" s="65" t="s">
        <v>267</v>
      </c>
      <c r="F22" s="60">
        <f t="shared" si="1"/>
        <v>149.0676923</v>
      </c>
      <c r="H22" s="9"/>
    </row>
    <row r="23">
      <c r="A23" s="9"/>
      <c r="C23" s="4"/>
      <c r="D23" s="4"/>
      <c r="E23" s="4"/>
      <c r="F23" s="63"/>
      <c r="H23" s="9"/>
    </row>
    <row r="24">
      <c r="A24" s="9"/>
      <c r="C24" s="4"/>
      <c r="D24" s="4"/>
      <c r="E24" s="4"/>
      <c r="F24" s="64"/>
      <c r="H24" s="9"/>
    </row>
    <row r="25">
      <c r="H25" s="9"/>
    </row>
    <row r="26">
      <c r="H26" s="9"/>
    </row>
    <row r="27">
      <c r="H27" s="9"/>
    </row>
    <row r="28">
      <c r="H28" s="9"/>
    </row>
    <row r="29">
      <c r="H29" s="9"/>
    </row>
    <row r="33">
      <c r="B33" s="33"/>
    </row>
    <row r="34">
      <c r="B34" s="33"/>
    </row>
    <row r="35">
      <c r="B35" s="35"/>
    </row>
    <row r="36">
      <c r="B36" s="33"/>
    </row>
    <row r="37">
      <c r="B37" s="35"/>
    </row>
    <row r="38">
      <c r="B38" s="33"/>
    </row>
    <row r="42">
      <c r="B42" s="33"/>
    </row>
    <row r="43">
      <c r="B43" s="35"/>
    </row>
    <row r="44">
      <c r="B44" s="35"/>
    </row>
    <row r="45">
      <c r="B45" s="3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5.13"/>
    <col customWidth="1" min="8" max="8" width="14.25"/>
  </cols>
  <sheetData>
    <row r="1">
      <c r="A1" s="9" t="s">
        <v>82</v>
      </c>
      <c r="B1" s="10" t="s">
        <v>239</v>
      </c>
      <c r="C1" s="10" t="s">
        <v>239</v>
      </c>
      <c r="D1" s="10" t="s">
        <v>239</v>
      </c>
      <c r="E1" s="10" t="s">
        <v>239</v>
      </c>
      <c r="F1" s="10" t="s">
        <v>239</v>
      </c>
      <c r="G1" s="10" t="s">
        <v>239</v>
      </c>
    </row>
    <row r="2">
      <c r="A2" s="9" t="s">
        <v>340</v>
      </c>
      <c r="B2" s="5">
        <v>1.0</v>
      </c>
      <c r="C2" s="5">
        <v>2.0</v>
      </c>
      <c r="D2" s="5">
        <v>3.0</v>
      </c>
      <c r="E2" s="5">
        <v>4.0</v>
      </c>
      <c r="F2" s="5">
        <v>5.0</v>
      </c>
      <c r="G2" s="5">
        <v>6.0</v>
      </c>
    </row>
    <row r="3">
      <c r="A3" s="9" t="s">
        <v>341</v>
      </c>
      <c r="B3" s="67">
        <v>44761.0</v>
      </c>
      <c r="C3" s="67">
        <v>44768.0</v>
      </c>
      <c r="D3" s="67">
        <v>44775.0</v>
      </c>
      <c r="E3" s="67">
        <v>44782.0</v>
      </c>
      <c r="F3" s="67">
        <v>44789.0</v>
      </c>
      <c r="G3" s="67">
        <v>44796.0</v>
      </c>
    </row>
    <row r="4">
      <c r="A4" s="9" t="s">
        <v>84</v>
      </c>
      <c r="B4" s="12" t="s">
        <v>85</v>
      </c>
      <c r="C4" s="12" t="s">
        <v>85</v>
      </c>
      <c r="D4" s="12" t="s">
        <v>85</v>
      </c>
      <c r="E4" s="12" t="s">
        <v>85</v>
      </c>
      <c r="F4" s="12" t="s">
        <v>85</v>
      </c>
      <c r="G4" s="12" t="s">
        <v>85</v>
      </c>
    </row>
    <row r="5">
      <c r="A5" s="9" t="s">
        <v>342</v>
      </c>
      <c r="B5" s="41">
        <v>0.8194444444444444</v>
      </c>
      <c r="C5" s="41">
        <v>0.8159722222222222</v>
      </c>
      <c r="D5" s="41">
        <v>0.9166666666666666</v>
      </c>
      <c r="E5" s="41">
        <v>0.8888888888888888</v>
      </c>
      <c r="F5" s="41">
        <v>0.8159722222222222</v>
      </c>
      <c r="G5" s="41">
        <v>0.75</v>
      </c>
    </row>
    <row r="6">
      <c r="A6" s="9" t="s">
        <v>100</v>
      </c>
      <c r="B6" s="10" t="s">
        <v>101</v>
      </c>
      <c r="C6" s="10" t="s">
        <v>101</v>
      </c>
      <c r="D6" s="10" t="s">
        <v>101</v>
      </c>
      <c r="E6" s="10" t="s">
        <v>101</v>
      </c>
      <c r="F6" s="10" t="s">
        <v>101</v>
      </c>
      <c r="G6" s="10" t="s">
        <v>101</v>
      </c>
    </row>
    <row r="7">
      <c r="A7" s="9" t="s">
        <v>343</v>
      </c>
      <c r="B7" s="10" t="s">
        <v>344</v>
      </c>
      <c r="C7" s="10" t="s">
        <v>345</v>
      </c>
      <c r="D7" s="10" t="s">
        <v>346</v>
      </c>
      <c r="E7" s="10" t="s">
        <v>344</v>
      </c>
      <c r="F7" s="10" t="s">
        <v>345</v>
      </c>
      <c r="G7" s="10" t="s">
        <v>344</v>
      </c>
    </row>
    <row r="8">
      <c r="A8" s="9" t="s">
        <v>347</v>
      </c>
      <c r="B8" s="10" t="s">
        <v>348</v>
      </c>
      <c r="C8" s="10" t="s">
        <v>207</v>
      </c>
      <c r="D8" s="10" t="s">
        <v>282</v>
      </c>
      <c r="E8" s="10" t="s">
        <v>349</v>
      </c>
      <c r="F8" s="10" t="s">
        <v>350</v>
      </c>
      <c r="G8" s="10" t="s">
        <v>348</v>
      </c>
    </row>
    <row r="10">
      <c r="A10" s="25" t="s">
        <v>351</v>
      </c>
      <c r="B10" s="5" t="s">
        <v>352</v>
      </c>
      <c r="C10" s="5" t="s">
        <v>352</v>
      </c>
      <c r="D10" s="5" t="s">
        <v>352</v>
      </c>
      <c r="E10" s="5" t="s">
        <v>352</v>
      </c>
      <c r="F10" s="5" t="s">
        <v>352</v>
      </c>
      <c r="G10" s="5" t="s">
        <v>352</v>
      </c>
    </row>
    <row r="11">
      <c r="A11" s="25" t="s">
        <v>353</v>
      </c>
      <c r="B11" s="5" t="s">
        <v>354</v>
      </c>
      <c r="G11" s="5" t="s">
        <v>355</v>
      </c>
    </row>
    <row r="12">
      <c r="A12" s="25" t="s">
        <v>356</v>
      </c>
      <c r="B12" s="5" t="s">
        <v>357</v>
      </c>
    </row>
    <row r="13">
      <c r="A13" s="25" t="s">
        <v>358</v>
      </c>
      <c r="B13" s="5" t="s">
        <v>355</v>
      </c>
    </row>
    <row r="14">
      <c r="A14" s="25" t="s">
        <v>359</v>
      </c>
      <c r="B14" s="5" t="s">
        <v>199</v>
      </c>
    </row>
    <row r="15">
      <c r="A15" s="25" t="s">
        <v>360</v>
      </c>
      <c r="B15" s="5" t="s">
        <v>361</v>
      </c>
    </row>
    <row r="16">
      <c r="A16" s="25" t="s">
        <v>362</v>
      </c>
      <c r="B16" s="5" t="s">
        <v>363</v>
      </c>
    </row>
    <row r="17">
      <c r="A17" s="25" t="s">
        <v>364</v>
      </c>
      <c r="B17" s="5" t="s">
        <v>365</v>
      </c>
    </row>
    <row r="18">
      <c r="A18" s="25" t="s">
        <v>366</v>
      </c>
      <c r="B18" s="5" t="s">
        <v>367</v>
      </c>
    </row>
    <row r="19">
      <c r="A19" s="25" t="s">
        <v>368</v>
      </c>
      <c r="B19" s="5" t="s">
        <v>369</v>
      </c>
    </row>
    <row r="20">
      <c r="A20" s="10">
        <v>11.0</v>
      </c>
      <c r="B20" s="5" t="s">
        <v>162</v>
      </c>
      <c r="C20" s="5" t="s">
        <v>370</v>
      </c>
    </row>
    <row r="21">
      <c r="A21" s="10"/>
    </row>
    <row r="22">
      <c r="A22" s="1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13"/>
    <col customWidth="1" min="2" max="2" width="18.75"/>
    <col customWidth="1" min="3" max="3" width="11.13"/>
    <col customWidth="1" min="4" max="4" width="11.75"/>
    <col customWidth="1" min="5" max="5" width="7.38"/>
    <col customWidth="1" min="6" max="6" width="11.13"/>
    <col customWidth="1" min="7" max="7" width="8.38"/>
    <col customWidth="1" min="8" max="8" width="16.88"/>
    <col customWidth="1" min="9" max="10" width="3.25"/>
    <col customWidth="1" min="11" max="11" width="13.75"/>
    <col customWidth="1" min="12" max="12" width="16.13"/>
    <col customWidth="1" min="13" max="13" width="15.5"/>
  </cols>
  <sheetData>
    <row r="1">
      <c r="A1" s="9" t="s">
        <v>82</v>
      </c>
      <c r="B1" s="10" t="s">
        <v>299</v>
      </c>
      <c r="C1" s="10"/>
      <c r="D1" s="10"/>
      <c r="E1" s="10"/>
      <c r="F1" s="10"/>
      <c r="G1" s="10"/>
      <c r="H1" s="10"/>
      <c r="I1" s="2"/>
      <c r="J1" s="3"/>
    </row>
    <row r="2">
      <c r="A2" s="9" t="s">
        <v>84</v>
      </c>
      <c r="B2" s="10" t="s">
        <v>85</v>
      </c>
      <c r="C2" s="12"/>
      <c r="D2" s="12"/>
      <c r="E2" s="12"/>
      <c r="F2" s="12"/>
      <c r="G2" s="12"/>
      <c r="H2" s="12"/>
      <c r="I2" s="68"/>
      <c r="J2" s="3"/>
    </row>
    <row r="3">
      <c r="A3" s="9" t="s">
        <v>100</v>
      </c>
      <c r="B3" s="10" t="s">
        <v>101</v>
      </c>
      <c r="C3" s="10"/>
      <c r="D3" s="10"/>
      <c r="E3" s="10"/>
      <c r="F3" s="10"/>
      <c r="G3" s="10"/>
      <c r="H3" s="10"/>
      <c r="I3" s="2"/>
      <c r="J3" s="3"/>
    </row>
    <row r="4">
      <c r="A4" s="9" t="s">
        <v>104</v>
      </c>
      <c r="B4" s="5">
        <v>12.0</v>
      </c>
      <c r="I4" s="3"/>
      <c r="J4" s="3"/>
    </row>
    <row r="5">
      <c r="A5" s="9" t="s">
        <v>108</v>
      </c>
      <c r="B5" s="69">
        <v>1750.0</v>
      </c>
      <c r="I5" s="3"/>
      <c r="J5" s="3"/>
    </row>
    <row r="6">
      <c r="A6" s="9" t="s">
        <v>110</v>
      </c>
      <c r="B6" s="10" t="s">
        <v>371</v>
      </c>
      <c r="I6" s="3"/>
      <c r="J6" s="3"/>
    </row>
    <row r="7">
      <c r="I7" s="3"/>
      <c r="J7" s="3"/>
    </row>
    <row r="8">
      <c r="I8" s="3"/>
      <c r="J8" s="3"/>
    </row>
    <row r="9">
      <c r="A9" s="25"/>
      <c r="B9" s="9" t="s">
        <v>114</v>
      </c>
      <c r="C9" s="9" t="s">
        <v>263</v>
      </c>
      <c r="D9" s="9" t="s">
        <v>264</v>
      </c>
      <c r="E9" s="9" t="s">
        <v>265</v>
      </c>
      <c r="F9" s="48" t="s">
        <v>372</v>
      </c>
      <c r="G9" s="9" t="s">
        <v>373</v>
      </c>
      <c r="H9" s="9" t="s">
        <v>374</v>
      </c>
      <c r="I9" s="70"/>
      <c r="J9" s="3"/>
      <c r="K9" s="9" t="s">
        <v>375</v>
      </c>
      <c r="L9" s="9" t="s">
        <v>376</v>
      </c>
      <c r="M9" s="9" t="s">
        <v>377</v>
      </c>
      <c r="N9" s="9" t="s">
        <v>378</v>
      </c>
      <c r="O9" s="9" t="s">
        <v>379</v>
      </c>
      <c r="P9" s="9" t="s">
        <v>380</v>
      </c>
      <c r="Q9" s="9" t="s">
        <v>381</v>
      </c>
    </row>
    <row r="10">
      <c r="A10" s="9">
        <v>1.0</v>
      </c>
      <c r="B10" s="4" t="s">
        <v>5</v>
      </c>
      <c r="C10" s="4" t="s">
        <v>121</v>
      </c>
      <c r="D10" s="33">
        <f t="shared" ref="D10:D24" si="1">$B$5/COUNTA($B$10:$B$24)</f>
        <v>116.6666667</v>
      </c>
      <c r="E10" s="5" t="s">
        <v>267</v>
      </c>
      <c r="F10" s="24">
        <f t="shared" ref="F10:F24" si="2">COUNTIFS($N$10:$Q$21,B10)</f>
        <v>2</v>
      </c>
      <c r="G10" s="71">
        <v>45034.0</v>
      </c>
      <c r="H10" s="5" t="s">
        <v>382</v>
      </c>
      <c r="I10" s="2">
        <v>2.0</v>
      </c>
      <c r="J10" s="2">
        <v>4.0</v>
      </c>
      <c r="K10" s="5" t="s">
        <v>105</v>
      </c>
      <c r="L10" s="5" t="s">
        <v>383</v>
      </c>
      <c r="M10" s="5" t="s">
        <v>384</v>
      </c>
      <c r="N10" s="5" t="s">
        <v>49</v>
      </c>
      <c r="O10" s="5" t="s">
        <v>63</v>
      </c>
    </row>
    <row r="11">
      <c r="A11" s="9">
        <v>2.0</v>
      </c>
      <c r="B11" s="4" t="s">
        <v>123</v>
      </c>
      <c r="C11" s="4" t="s">
        <v>121</v>
      </c>
      <c r="D11" s="33">
        <f t="shared" si="1"/>
        <v>116.6666667</v>
      </c>
      <c r="E11" s="5" t="s">
        <v>267</v>
      </c>
      <c r="F11" s="24">
        <f t="shared" si="2"/>
        <v>2</v>
      </c>
      <c r="G11" s="71">
        <v>45041.0</v>
      </c>
      <c r="H11" s="5" t="s">
        <v>105</v>
      </c>
      <c r="I11" s="2">
        <v>4.0</v>
      </c>
      <c r="J11" s="2">
        <v>5.0</v>
      </c>
      <c r="K11" s="4" t="s">
        <v>144</v>
      </c>
      <c r="L11" s="5" t="s">
        <v>385</v>
      </c>
      <c r="M11" s="5" t="s">
        <v>386</v>
      </c>
      <c r="N11" s="5" t="s">
        <v>47</v>
      </c>
      <c r="O11" s="5" t="s">
        <v>63</v>
      </c>
    </row>
    <row r="12">
      <c r="A12" s="9">
        <v>3.0</v>
      </c>
      <c r="B12" s="4" t="s">
        <v>11</v>
      </c>
      <c r="C12" s="4" t="s">
        <v>121</v>
      </c>
      <c r="D12" s="33">
        <f t="shared" si="1"/>
        <v>116.6666667</v>
      </c>
      <c r="E12" s="5" t="s">
        <v>267</v>
      </c>
      <c r="F12" s="24">
        <f t="shared" si="2"/>
        <v>2</v>
      </c>
      <c r="G12" s="71">
        <v>45048.0</v>
      </c>
      <c r="H12" s="5" t="s">
        <v>137</v>
      </c>
      <c r="I12" s="2">
        <v>4.0</v>
      </c>
      <c r="J12" s="2">
        <v>6.0</v>
      </c>
      <c r="K12" s="5" t="s">
        <v>105</v>
      </c>
      <c r="L12" s="5" t="s">
        <v>387</v>
      </c>
      <c r="M12" s="5" t="s">
        <v>388</v>
      </c>
      <c r="N12" s="5" t="s">
        <v>42</v>
      </c>
    </row>
    <row r="13">
      <c r="A13" s="9">
        <v>4.0</v>
      </c>
      <c r="B13" s="4" t="s">
        <v>17</v>
      </c>
      <c r="C13" s="4" t="s">
        <v>121</v>
      </c>
      <c r="D13" s="33">
        <f t="shared" si="1"/>
        <v>116.6666667</v>
      </c>
      <c r="E13" s="5" t="s">
        <v>267</v>
      </c>
      <c r="F13" s="24">
        <f t="shared" si="2"/>
        <v>2</v>
      </c>
      <c r="G13" s="71">
        <v>45055.0</v>
      </c>
      <c r="H13" s="5" t="s">
        <v>389</v>
      </c>
      <c r="I13" s="2">
        <v>4.0</v>
      </c>
      <c r="J13" s="2">
        <v>4.0</v>
      </c>
      <c r="K13" s="5" t="s">
        <v>105</v>
      </c>
      <c r="L13" s="5" t="s">
        <v>383</v>
      </c>
      <c r="M13" s="5" t="s">
        <v>384</v>
      </c>
      <c r="N13" s="5" t="s">
        <v>47</v>
      </c>
      <c r="O13" s="5" t="s">
        <v>63</v>
      </c>
      <c r="P13" s="4" t="s">
        <v>17</v>
      </c>
    </row>
    <row r="14">
      <c r="A14" s="9">
        <v>5.0</v>
      </c>
      <c r="B14" s="4" t="s">
        <v>23</v>
      </c>
      <c r="C14" s="4" t="s">
        <v>121</v>
      </c>
      <c r="D14" s="33">
        <f t="shared" si="1"/>
        <v>116.6666667</v>
      </c>
      <c r="E14" s="5" t="s">
        <v>267</v>
      </c>
      <c r="F14" s="24">
        <f t="shared" si="2"/>
        <v>2</v>
      </c>
      <c r="G14" s="71">
        <v>45062.0</v>
      </c>
      <c r="H14" s="5" t="s">
        <v>390</v>
      </c>
      <c r="I14" s="2">
        <v>4.0</v>
      </c>
      <c r="J14" s="2">
        <v>8.0</v>
      </c>
      <c r="K14" s="5" t="s">
        <v>105</v>
      </c>
      <c r="L14" s="5" t="s">
        <v>383</v>
      </c>
      <c r="M14" s="5" t="s">
        <v>384</v>
      </c>
      <c r="N14" s="5" t="s">
        <v>80</v>
      </c>
      <c r="O14" s="4" t="s">
        <v>5</v>
      </c>
      <c r="P14" s="5" t="s">
        <v>11</v>
      </c>
    </row>
    <row r="15">
      <c r="A15" s="9">
        <v>6.0</v>
      </c>
      <c r="B15" s="4" t="s">
        <v>27</v>
      </c>
      <c r="C15" s="4" t="s">
        <v>121</v>
      </c>
      <c r="D15" s="33">
        <f t="shared" si="1"/>
        <v>116.6666667</v>
      </c>
      <c r="E15" s="5" t="s">
        <v>267</v>
      </c>
      <c r="F15" s="24">
        <f t="shared" si="2"/>
        <v>0</v>
      </c>
      <c r="G15" s="72">
        <v>45068.0</v>
      </c>
      <c r="H15" s="5" t="s">
        <v>105</v>
      </c>
      <c r="I15" s="2">
        <v>4.0</v>
      </c>
      <c r="J15" s="2">
        <v>4.0</v>
      </c>
      <c r="K15" s="4" t="s">
        <v>391</v>
      </c>
      <c r="L15" s="5" t="s">
        <v>383</v>
      </c>
      <c r="M15" s="5" t="s">
        <v>392</v>
      </c>
      <c r="N15" s="4" t="s">
        <v>67</v>
      </c>
      <c r="O15" s="4" t="s">
        <v>23</v>
      </c>
      <c r="P15" s="5" t="s">
        <v>11</v>
      </c>
    </row>
    <row r="16">
      <c r="A16" s="9">
        <v>7.0</v>
      </c>
      <c r="B16" s="4" t="s">
        <v>29</v>
      </c>
      <c r="C16" s="4" t="s">
        <v>121</v>
      </c>
      <c r="D16" s="33">
        <f t="shared" si="1"/>
        <v>116.6666667</v>
      </c>
      <c r="E16" s="5" t="s">
        <v>267</v>
      </c>
      <c r="F16" s="24">
        <f t="shared" si="2"/>
        <v>2</v>
      </c>
      <c r="G16" s="71">
        <v>45076.0</v>
      </c>
      <c r="H16" s="5" t="s">
        <v>105</v>
      </c>
      <c r="I16" s="2">
        <v>8.0</v>
      </c>
      <c r="J16" s="2">
        <v>4.0</v>
      </c>
      <c r="K16" s="5" t="s">
        <v>393</v>
      </c>
      <c r="L16" s="5" t="s">
        <v>394</v>
      </c>
      <c r="M16" s="5" t="s">
        <v>395</v>
      </c>
      <c r="N16" s="5" t="s">
        <v>31</v>
      </c>
      <c r="O16" s="24" t="str">
        <f>B10</f>
        <v>Arthur Mendes</v>
      </c>
      <c r="P16" s="73" t="s">
        <v>49</v>
      </c>
      <c r="Q16" s="5" t="s">
        <v>42</v>
      </c>
    </row>
    <row r="17">
      <c r="A17" s="9">
        <v>8.0</v>
      </c>
      <c r="B17" s="4" t="s">
        <v>31</v>
      </c>
      <c r="C17" s="4" t="s">
        <v>121</v>
      </c>
      <c r="D17" s="33">
        <f t="shared" si="1"/>
        <v>116.6666667</v>
      </c>
      <c r="E17" s="5" t="s">
        <v>267</v>
      </c>
      <c r="F17" s="24">
        <f t="shared" si="2"/>
        <v>2</v>
      </c>
      <c r="G17" s="71">
        <v>45083.0</v>
      </c>
      <c r="H17" s="5" t="s">
        <v>105</v>
      </c>
      <c r="I17" s="2"/>
      <c r="J17" s="2"/>
      <c r="K17" s="4" t="s">
        <v>213</v>
      </c>
      <c r="L17" s="74" t="s">
        <v>387</v>
      </c>
      <c r="M17" s="5" t="s">
        <v>388</v>
      </c>
      <c r="N17" s="5" t="s">
        <v>42</v>
      </c>
      <c r="O17" s="5" t="s">
        <v>80</v>
      </c>
      <c r="P17" s="4" t="s">
        <v>29</v>
      </c>
    </row>
    <row r="18">
      <c r="A18" s="9">
        <v>9.0</v>
      </c>
      <c r="B18" s="4" t="s">
        <v>80</v>
      </c>
      <c r="C18" s="4" t="s">
        <v>121</v>
      </c>
      <c r="D18" s="33">
        <f t="shared" si="1"/>
        <v>116.6666667</v>
      </c>
      <c r="E18" s="5" t="s">
        <v>267</v>
      </c>
      <c r="F18" s="24">
        <f t="shared" si="2"/>
        <v>2</v>
      </c>
      <c r="G18" s="71">
        <v>45090.0</v>
      </c>
      <c r="H18" s="5" t="s">
        <v>105</v>
      </c>
      <c r="I18" s="2"/>
      <c r="J18" s="2"/>
      <c r="K18" s="4" t="s">
        <v>282</v>
      </c>
      <c r="L18" s="5" t="s">
        <v>385</v>
      </c>
      <c r="M18" s="5" t="s">
        <v>386</v>
      </c>
      <c r="N18" s="5" t="s">
        <v>47</v>
      </c>
      <c r="O18" s="4" t="s">
        <v>17</v>
      </c>
    </row>
    <row r="19">
      <c r="A19" s="9">
        <v>10.0</v>
      </c>
      <c r="B19" s="4" t="s">
        <v>42</v>
      </c>
      <c r="C19" s="4" t="s">
        <v>121</v>
      </c>
      <c r="D19" s="33">
        <f t="shared" si="1"/>
        <v>116.6666667</v>
      </c>
      <c r="E19" s="5" t="s">
        <v>267</v>
      </c>
      <c r="F19" s="24">
        <f t="shared" si="2"/>
        <v>4</v>
      </c>
      <c r="G19" s="71">
        <v>45097.0</v>
      </c>
      <c r="H19" s="5" t="s">
        <v>105</v>
      </c>
      <c r="I19" s="2"/>
      <c r="J19" s="2"/>
      <c r="K19" s="4" t="s">
        <v>185</v>
      </c>
      <c r="L19" s="5" t="s">
        <v>383</v>
      </c>
      <c r="M19" s="5" t="s">
        <v>396</v>
      </c>
      <c r="N19" s="5" t="s">
        <v>42</v>
      </c>
      <c r="O19" s="4" t="s">
        <v>123</v>
      </c>
      <c r="P19" s="5" t="s">
        <v>23</v>
      </c>
      <c r="Q19" s="4" t="s">
        <v>29</v>
      </c>
    </row>
    <row r="20">
      <c r="A20" s="9">
        <v>11.0</v>
      </c>
      <c r="B20" s="4" t="s">
        <v>47</v>
      </c>
      <c r="C20" s="4" t="s">
        <v>121</v>
      </c>
      <c r="D20" s="33">
        <f t="shared" si="1"/>
        <v>116.6666667</v>
      </c>
      <c r="E20" s="5" t="s">
        <v>267</v>
      </c>
      <c r="F20" s="24">
        <f t="shared" si="2"/>
        <v>3</v>
      </c>
      <c r="G20" s="72">
        <v>45104.0</v>
      </c>
      <c r="H20" s="5" t="s">
        <v>382</v>
      </c>
      <c r="I20" s="2"/>
      <c r="J20" s="2"/>
      <c r="K20" s="5" t="s">
        <v>105</v>
      </c>
      <c r="L20" s="5" t="s">
        <v>394</v>
      </c>
      <c r="M20" s="5" t="s">
        <v>397</v>
      </c>
      <c r="N20" s="5" t="s">
        <v>51</v>
      </c>
      <c r="O20" s="5" t="s">
        <v>31</v>
      </c>
    </row>
    <row r="21">
      <c r="A21" s="9">
        <v>12.0</v>
      </c>
      <c r="B21" s="4" t="s">
        <v>49</v>
      </c>
      <c r="C21" s="4" t="s">
        <v>121</v>
      </c>
      <c r="D21" s="33">
        <f t="shared" si="1"/>
        <v>116.6666667</v>
      </c>
      <c r="E21" s="5" t="s">
        <v>267</v>
      </c>
      <c r="F21" s="24">
        <f t="shared" si="2"/>
        <v>2</v>
      </c>
      <c r="G21" s="72">
        <v>45104.0</v>
      </c>
      <c r="H21" s="4" t="s">
        <v>144</v>
      </c>
      <c r="I21" s="2"/>
      <c r="J21" s="2"/>
      <c r="K21" s="5" t="s">
        <v>105</v>
      </c>
      <c r="L21" s="5" t="s">
        <v>394</v>
      </c>
      <c r="M21" s="5" t="s">
        <v>398</v>
      </c>
      <c r="N21" s="5" t="s">
        <v>51</v>
      </c>
      <c r="O21" s="4" t="s">
        <v>123</v>
      </c>
    </row>
    <row r="22">
      <c r="A22" s="9">
        <v>13.0</v>
      </c>
      <c r="B22" s="4" t="s">
        <v>51</v>
      </c>
      <c r="C22" s="4" t="s">
        <v>121</v>
      </c>
      <c r="D22" s="33">
        <f t="shared" si="1"/>
        <v>116.6666667</v>
      </c>
      <c r="E22" s="5" t="s">
        <v>267</v>
      </c>
      <c r="F22" s="24">
        <f t="shared" si="2"/>
        <v>2</v>
      </c>
      <c r="I22" s="75"/>
      <c r="J22" s="3"/>
      <c r="K22" s="4"/>
    </row>
    <row r="23">
      <c r="A23" s="9">
        <v>14.0</v>
      </c>
      <c r="B23" s="4" t="s">
        <v>63</v>
      </c>
      <c r="C23" s="4" t="s">
        <v>121</v>
      </c>
      <c r="D23" s="33">
        <f t="shared" si="1"/>
        <v>116.6666667</v>
      </c>
      <c r="E23" s="5" t="s">
        <v>267</v>
      </c>
      <c r="F23" s="24">
        <f t="shared" si="2"/>
        <v>3</v>
      </c>
      <c r="I23" s="75"/>
      <c r="J23" s="3"/>
      <c r="K23" s="4"/>
    </row>
    <row r="24">
      <c r="A24" s="9">
        <v>15.0</v>
      </c>
      <c r="B24" s="4" t="s">
        <v>67</v>
      </c>
      <c r="C24" s="4" t="s">
        <v>121</v>
      </c>
      <c r="D24" s="33">
        <f t="shared" si="1"/>
        <v>116.6666667</v>
      </c>
      <c r="E24" s="5" t="s">
        <v>267</v>
      </c>
      <c r="F24" s="24">
        <f t="shared" si="2"/>
        <v>1</v>
      </c>
      <c r="I24" s="75"/>
      <c r="J24" s="3"/>
      <c r="K24" s="4"/>
    </row>
    <row r="25">
      <c r="I25" s="3"/>
      <c r="J25" s="3"/>
    </row>
    <row r="26">
      <c r="I26" s="3"/>
      <c r="J26" s="3"/>
    </row>
    <row r="27">
      <c r="B27" s="9" t="s">
        <v>399</v>
      </c>
      <c r="C27" s="9" t="s">
        <v>400</v>
      </c>
      <c r="I27" s="3"/>
      <c r="J27" s="3"/>
    </row>
    <row r="28">
      <c r="B28" s="5" t="s">
        <v>401</v>
      </c>
      <c r="C28" s="33">
        <v>0.0</v>
      </c>
      <c r="I28" s="3"/>
      <c r="J28" s="3"/>
    </row>
    <row r="29">
      <c r="C29" s="33"/>
      <c r="I29" s="3"/>
      <c r="J29" s="3"/>
    </row>
    <row r="30">
      <c r="B30" s="9" t="s">
        <v>402</v>
      </c>
      <c r="C30" s="49">
        <f>sum(C28:C29)</f>
        <v>0</v>
      </c>
      <c r="I30" s="3"/>
      <c r="J30" s="3"/>
    </row>
    <row r="31">
      <c r="I31" s="3"/>
      <c r="J31" s="3"/>
    </row>
    <row r="32">
      <c r="I32" s="3"/>
      <c r="J32" s="3"/>
    </row>
    <row r="33">
      <c r="B33" s="33"/>
      <c r="I33" s="3"/>
      <c r="J33" s="3"/>
    </row>
    <row r="34">
      <c r="B34" s="33"/>
      <c r="I34" s="3"/>
      <c r="J34" s="3"/>
    </row>
    <row r="35">
      <c r="B35" s="35"/>
      <c r="I35" s="3"/>
      <c r="J35" s="3"/>
    </row>
    <row r="36">
      <c r="B36" s="33"/>
      <c r="I36" s="3"/>
      <c r="J36" s="3"/>
    </row>
    <row r="37">
      <c r="B37" s="35"/>
      <c r="I37" s="3"/>
      <c r="J37" s="3"/>
    </row>
    <row r="38">
      <c r="B38" s="33"/>
      <c r="I38" s="3"/>
      <c r="J38" s="3"/>
    </row>
    <row r="39">
      <c r="I39" s="3"/>
      <c r="J39" s="3"/>
    </row>
    <row r="40">
      <c r="I40" s="3"/>
      <c r="J40" s="3"/>
    </row>
    <row r="41">
      <c r="I41" s="3"/>
      <c r="J41" s="3"/>
    </row>
    <row r="42">
      <c r="B42" s="33"/>
      <c r="I42" s="3"/>
      <c r="J42" s="3"/>
    </row>
    <row r="43">
      <c r="B43" s="35"/>
      <c r="I43" s="3"/>
      <c r="J43" s="3"/>
    </row>
    <row r="44">
      <c r="B44" s="35"/>
      <c r="I44" s="3"/>
      <c r="J44" s="3"/>
    </row>
    <row r="45">
      <c r="B45" s="35"/>
      <c r="I45" s="3"/>
      <c r="J45" s="3"/>
    </row>
    <row r="46">
      <c r="I46" s="3"/>
      <c r="J46" s="3"/>
    </row>
    <row r="47">
      <c r="I47" s="3"/>
      <c r="J47" s="3"/>
    </row>
    <row r="48">
      <c r="I48" s="3"/>
      <c r="J48" s="3"/>
    </row>
    <row r="49">
      <c r="I49" s="3"/>
      <c r="J49" s="3"/>
    </row>
    <row r="50">
      <c r="I50" s="3"/>
      <c r="J50" s="3"/>
    </row>
    <row r="51">
      <c r="I51" s="3"/>
      <c r="J51" s="3"/>
    </row>
    <row r="52">
      <c r="I52" s="3"/>
      <c r="J52" s="3"/>
    </row>
    <row r="53">
      <c r="I53" s="3"/>
      <c r="J53" s="3"/>
    </row>
    <row r="54">
      <c r="I54" s="3"/>
      <c r="J54" s="3"/>
    </row>
    <row r="55">
      <c r="I55" s="3"/>
      <c r="J55" s="3"/>
    </row>
    <row r="56">
      <c r="I56" s="3"/>
      <c r="J56" s="3"/>
    </row>
    <row r="57">
      <c r="I57" s="3"/>
      <c r="J57" s="3"/>
    </row>
    <row r="58">
      <c r="I58" s="3"/>
      <c r="J58" s="3"/>
    </row>
    <row r="59">
      <c r="I59" s="3"/>
      <c r="J59" s="3"/>
    </row>
    <row r="60">
      <c r="I60" s="3"/>
      <c r="J60" s="3"/>
    </row>
    <row r="61">
      <c r="I61" s="3"/>
      <c r="J61" s="3"/>
    </row>
    <row r="62">
      <c r="I62" s="3"/>
      <c r="J62" s="3"/>
    </row>
    <row r="63">
      <c r="I63" s="3"/>
      <c r="J63" s="3"/>
    </row>
    <row r="64">
      <c r="I64" s="3"/>
      <c r="J64" s="3"/>
    </row>
    <row r="65">
      <c r="I65" s="3"/>
      <c r="J65" s="3"/>
    </row>
    <row r="66">
      <c r="I66" s="3"/>
      <c r="J66" s="3"/>
    </row>
    <row r="67">
      <c r="I67" s="3"/>
      <c r="J67" s="3"/>
    </row>
    <row r="68">
      <c r="I68" s="3"/>
      <c r="J68" s="3"/>
    </row>
    <row r="69">
      <c r="I69" s="3"/>
      <c r="J69" s="3"/>
    </row>
    <row r="70">
      <c r="I70" s="3"/>
      <c r="J70" s="3"/>
    </row>
    <row r="71">
      <c r="I71" s="3"/>
      <c r="J71" s="3"/>
    </row>
    <row r="72">
      <c r="I72" s="3"/>
      <c r="J72" s="3"/>
    </row>
    <row r="73">
      <c r="I73" s="3"/>
      <c r="J73" s="3"/>
    </row>
    <row r="74">
      <c r="I74" s="3"/>
      <c r="J74" s="3"/>
    </row>
    <row r="75">
      <c r="I75" s="3"/>
      <c r="J75" s="3"/>
    </row>
    <row r="76">
      <c r="I76" s="3"/>
      <c r="J76" s="3"/>
    </row>
    <row r="77">
      <c r="I77" s="3"/>
      <c r="J77" s="3"/>
    </row>
    <row r="78">
      <c r="I78" s="3"/>
      <c r="J78" s="3"/>
    </row>
    <row r="79">
      <c r="I79" s="3"/>
      <c r="J79" s="3"/>
    </row>
    <row r="80">
      <c r="I80" s="3"/>
      <c r="J80" s="3"/>
    </row>
    <row r="81">
      <c r="I81" s="3"/>
      <c r="J81" s="3"/>
    </row>
    <row r="82">
      <c r="I82" s="3"/>
      <c r="J82" s="3"/>
    </row>
    <row r="83">
      <c r="I83" s="3"/>
      <c r="J83" s="3"/>
    </row>
    <row r="84">
      <c r="I84" s="3"/>
      <c r="J84" s="3"/>
    </row>
    <row r="85">
      <c r="I85" s="3"/>
      <c r="J85" s="3"/>
    </row>
    <row r="86">
      <c r="I86" s="3"/>
      <c r="J86" s="3"/>
    </row>
    <row r="87">
      <c r="I87" s="3"/>
      <c r="J87" s="3"/>
    </row>
    <row r="88">
      <c r="I88" s="3"/>
      <c r="J88" s="3"/>
    </row>
    <row r="89">
      <c r="I89" s="3"/>
      <c r="J89" s="3"/>
    </row>
    <row r="90">
      <c r="I90" s="3"/>
      <c r="J90" s="3"/>
    </row>
    <row r="91">
      <c r="I91" s="3"/>
      <c r="J91" s="3"/>
    </row>
    <row r="92">
      <c r="I92" s="3"/>
      <c r="J92" s="3"/>
    </row>
    <row r="93">
      <c r="I93" s="3"/>
      <c r="J93" s="3"/>
    </row>
    <row r="94">
      <c r="I94" s="3"/>
      <c r="J94" s="3"/>
    </row>
    <row r="95">
      <c r="I95" s="3"/>
      <c r="J95" s="3"/>
    </row>
    <row r="96">
      <c r="I96" s="3"/>
      <c r="J96" s="3"/>
    </row>
    <row r="97">
      <c r="I97" s="3"/>
      <c r="J97" s="3"/>
    </row>
    <row r="98">
      <c r="I98" s="3"/>
      <c r="J98" s="3"/>
    </row>
    <row r="99">
      <c r="I99" s="3"/>
      <c r="J99" s="3"/>
    </row>
    <row r="100">
      <c r="I100" s="3"/>
      <c r="J100" s="3"/>
    </row>
    <row r="101">
      <c r="I101" s="3"/>
      <c r="J101" s="3"/>
    </row>
    <row r="102">
      <c r="I102" s="3"/>
      <c r="J102" s="3"/>
    </row>
    <row r="103">
      <c r="I103" s="3"/>
      <c r="J103" s="3"/>
    </row>
    <row r="104">
      <c r="I104" s="3"/>
      <c r="J104" s="3"/>
    </row>
    <row r="105">
      <c r="I105" s="3"/>
      <c r="J105" s="3"/>
    </row>
    <row r="106">
      <c r="I106" s="3"/>
      <c r="J106" s="3"/>
    </row>
    <row r="107">
      <c r="I107" s="3"/>
      <c r="J107" s="3"/>
    </row>
    <row r="108">
      <c r="I108" s="3"/>
      <c r="J108" s="3"/>
    </row>
    <row r="109">
      <c r="I109" s="3"/>
      <c r="J109" s="3"/>
    </row>
    <row r="110">
      <c r="I110" s="3"/>
      <c r="J110" s="3"/>
    </row>
    <row r="111">
      <c r="I111" s="3"/>
      <c r="J111" s="3"/>
    </row>
    <row r="112">
      <c r="I112" s="3"/>
      <c r="J112" s="3"/>
    </row>
    <row r="113">
      <c r="I113" s="3"/>
      <c r="J113" s="3"/>
    </row>
    <row r="114">
      <c r="I114" s="3"/>
      <c r="J114" s="3"/>
    </row>
    <row r="115">
      <c r="I115" s="3"/>
      <c r="J115" s="3"/>
    </row>
    <row r="116">
      <c r="I116" s="3"/>
      <c r="J116" s="3"/>
    </row>
    <row r="117">
      <c r="I117" s="3"/>
      <c r="J117" s="3"/>
    </row>
    <row r="118">
      <c r="I118" s="3"/>
      <c r="J118" s="3"/>
    </row>
    <row r="119">
      <c r="I119" s="3"/>
      <c r="J119" s="3"/>
    </row>
    <row r="120">
      <c r="I120" s="3"/>
      <c r="J120" s="3"/>
    </row>
    <row r="121">
      <c r="I121" s="3"/>
      <c r="J121" s="3"/>
    </row>
    <row r="122">
      <c r="I122" s="3"/>
      <c r="J122" s="3"/>
    </row>
    <row r="123">
      <c r="I123" s="3"/>
      <c r="J123" s="3"/>
    </row>
    <row r="124">
      <c r="I124" s="3"/>
      <c r="J124" s="3"/>
    </row>
    <row r="125">
      <c r="I125" s="3"/>
      <c r="J125" s="3"/>
    </row>
    <row r="126">
      <c r="I126" s="3"/>
      <c r="J126" s="3"/>
    </row>
    <row r="127">
      <c r="I127" s="3"/>
      <c r="J127" s="3"/>
    </row>
    <row r="128">
      <c r="I128" s="3"/>
      <c r="J128" s="3"/>
    </row>
    <row r="129">
      <c r="I129" s="3"/>
      <c r="J129" s="3"/>
    </row>
    <row r="130">
      <c r="I130" s="3"/>
      <c r="J130" s="3"/>
    </row>
    <row r="131">
      <c r="I131" s="3"/>
      <c r="J131" s="3"/>
    </row>
    <row r="132">
      <c r="I132" s="3"/>
      <c r="J132" s="3"/>
    </row>
    <row r="133">
      <c r="I133" s="3"/>
      <c r="J133" s="3"/>
    </row>
    <row r="134">
      <c r="I134" s="3"/>
      <c r="J134" s="3"/>
    </row>
    <row r="135">
      <c r="I135" s="3"/>
      <c r="J135" s="3"/>
    </row>
    <row r="136">
      <c r="I136" s="3"/>
      <c r="J136" s="3"/>
    </row>
    <row r="137">
      <c r="I137" s="3"/>
      <c r="J137" s="3"/>
    </row>
    <row r="138">
      <c r="I138" s="3"/>
      <c r="J138" s="3"/>
    </row>
    <row r="139">
      <c r="I139" s="3"/>
      <c r="J139" s="3"/>
    </row>
    <row r="140">
      <c r="I140" s="3"/>
      <c r="J140" s="3"/>
    </row>
    <row r="141">
      <c r="I141" s="3"/>
      <c r="J141" s="3"/>
    </row>
    <row r="142">
      <c r="I142" s="3"/>
      <c r="J142" s="3"/>
    </row>
    <row r="143">
      <c r="I143" s="3"/>
      <c r="J143" s="3"/>
    </row>
    <row r="144">
      <c r="I144" s="3"/>
      <c r="J144" s="3"/>
    </row>
    <row r="145">
      <c r="I145" s="3"/>
      <c r="J145" s="3"/>
    </row>
    <row r="146">
      <c r="I146" s="3"/>
      <c r="J146" s="3"/>
    </row>
    <row r="147">
      <c r="I147" s="3"/>
      <c r="J147" s="3"/>
    </row>
    <row r="148">
      <c r="I148" s="3"/>
      <c r="J148" s="3"/>
    </row>
    <row r="149">
      <c r="I149" s="3"/>
      <c r="J149" s="3"/>
    </row>
    <row r="150">
      <c r="I150" s="3"/>
      <c r="J150" s="3"/>
    </row>
    <row r="151">
      <c r="I151" s="3"/>
      <c r="J151" s="3"/>
    </row>
    <row r="152">
      <c r="I152" s="3"/>
      <c r="J152" s="3"/>
    </row>
    <row r="153">
      <c r="I153" s="3"/>
      <c r="J153" s="3"/>
    </row>
    <row r="154">
      <c r="I154" s="3"/>
      <c r="J154" s="3"/>
    </row>
    <row r="155">
      <c r="I155" s="3"/>
      <c r="J155" s="3"/>
    </row>
    <row r="156">
      <c r="I156" s="3"/>
      <c r="J156" s="3"/>
    </row>
    <row r="157">
      <c r="I157" s="3"/>
      <c r="J157" s="3"/>
    </row>
    <row r="158">
      <c r="I158" s="3"/>
      <c r="J158" s="3"/>
    </row>
    <row r="159">
      <c r="I159" s="3"/>
      <c r="J159" s="3"/>
    </row>
    <row r="160">
      <c r="I160" s="3"/>
      <c r="J160" s="3"/>
    </row>
    <row r="161">
      <c r="I161" s="3"/>
      <c r="J161" s="3"/>
    </row>
    <row r="162">
      <c r="I162" s="3"/>
      <c r="J162" s="3"/>
    </row>
    <row r="163">
      <c r="I163" s="3"/>
      <c r="J163" s="3"/>
    </row>
    <row r="164">
      <c r="I164" s="3"/>
      <c r="J164" s="3"/>
    </row>
    <row r="165">
      <c r="I165" s="3"/>
      <c r="J165" s="3"/>
    </row>
    <row r="166">
      <c r="I166" s="3"/>
      <c r="J166" s="3"/>
    </row>
    <row r="167">
      <c r="I167" s="3"/>
      <c r="J167" s="3"/>
    </row>
    <row r="168">
      <c r="I168" s="3"/>
      <c r="J168" s="3"/>
    </row>
    <row r="169">
      <c r="I169" s="3"/>
      <c r="J169" s="3"/>
    </row>
    <row r="170">
      <c r="I170" s="3"/>
      <c r="J170" s="3"/>
    </row>
    <row r="171">
      <c r="I171" s="3"/>
      <c r="J171" s="3"/>
    </row>
    <row r="172">
      <c r="I172" s="3"/>
      <c r="J172" s="3"/>
    </row>
    <row r="173">
      <c r="I173" s="3"/>
      <c r="J173" s="3"/>
    </row>
    <row r="174">
      <c r="I174" s="3"/>
      <c r="J174" s="3"/>
    </row>
    <row r="175">
      <c r="I175" s="3"/>
      <c r="J175" s="3"/>
    </row>
    <row r="176">
      <c r="I176" s="3"/>
      <c r="J176" s="3"/>
    </row>
    <row r="177">
      <c r="I177" s="3"/>
      <c r="J177" s="3"/>
    </row>
    <row r="178">
      <c r="I178" s="3"/>
      <c r="J178" s="3"/>
    </row>
    <row r="179">
      <c r="I179" s="3"/>
      <c r="J179" s="3"/>
    </row>
    <row r="180">
      <c r="I180" s="3"/>
      <c r="J180" s="3"/>
    </row>
    <row r="181">
      <c r="I181" s="3"/>
      <c r="J181" s="3"/>
    </row>
    <row r="182">
      <c r="I182" s="3"/>
      <c r="J182" s="3"/>
    </row>
    <row r="183">
      <c r="I183" s="3"/>
      <c r="J183" s="3"/>
    </row>
    <row r="184">
      <c r="I184" s="3"/>
      <c r="J184" s="3"/>
    </row>
    <row r="185">
      <c r="I185" s="3"/>
      <c r="J185" s="3"/>
    </row>
    <row r="186">
      <c r="I186" s="3"/>
      <c r="J186" s="3"/>
    </row>
    <row r="187">
      <c r="I187" s="3"/>
      <c r="J187" s="3"/>
    </row>
    <row r="188">
      <c r="I188" s="3"/>
      <c r="J188" s="3"/>
    </row>
    <row r="189">
      <c r="I189" s="3"/>
      <c r="J189" s="3"/>
    </row>
    <row r="190">
      <c r="I190" s="3"/>
      <c r="J190" s="3"/>
    </row>
    <row r="191">
      <c r="I191" s="3"/>
      <c r="J191" s="3"/>
    </row>
    <row r="192">
      <c r="I192" s="3"/>
      <c r="J192" s="3"/>
    </row>
    <row r="193">
      <c r="I193" s="3"/>
      <c r="J193" s="3"/>
    </row>
    <row r="194">
      <c r="I194" s="3"/>
      <c r="J194" s="3"/>
    </row>
    <row r="195">
      <c r="I195" s="3"/>
      <c r="J195" s="3"/>
    </row>
    <row r="196">
      <c r="I196" s="3"/>
      <c r="J196" s="3"/>
    </row>
    <row r="197">
      <c r="I197" s="3"/>
      <c r="J197" s="3"/>
    </row>
    <row r="198">
      <c r="I198" s="3"/>
      <c r="J198" s="3"/>
    </row>
    <row r="199">
      <c r="I199" s="3"/>
      <c r="J199" s="3"/>
    </row>
    <row r="200">
      <c r="I200" s="3"/>
      <c r="J200" s="3"/>
    </row>
    <row r="201">
      <c r="I201" s="3"/>
      <c r="J201" s="3"/>
    </row>
    <row r="202">
      <c r="I202" s="3"/>
      <c r="J202" s="3"/>
    </row>
    <row r="203">
      <c r="I203" s="3"/>
      <c r="J203" s="3"/>
    </row>
    <row r="204">
      <c r="I204" s="3"/>
      <c r="J204" s="3"/>
    </row>
    <row r="205">
      <c r="I205" s="3"/>
      <c r="J205" s="3"/>
    </row>
    <row r="206">
      <c r="I206" s="3"/>
      <c r="J206" s="3"/>
    </row>
    <row r="207">
      <c r="I207" s="3"/>
      <c r="J207" s="3"/>
    </row>
    <row r="208">
      <c r="I208" s="3"/>
      <c r="J208" s="3"/>
    </row>
    <row r="209">
      <c r="I209" s="3"/>
      <c r="J209" s="3"/>
    </row>
    <row r="210">
      <c r="I210" s="3"/>
      <c r="J210" s="3"/>
    </row>
    <row r="211">
      <c r="I211" s="3"/>
      <c r="J211" s="3"/>
    </row>
    <row r="212">
      <c r="I212" s="3"/>
      <c r="J212" s="3"/>
    </row>
    <row r="213">
      <c r="I213" s="3"/>
      <c r="J213" s="3"/>
    </row>
    <row r="214">
      <c r="I214" s="3"/>
      <c r="J214" s="3"/>
    </row>
    <row r="215">
      <c r="I215" s="3"/>
      <c r="J215" s="3"/>
    </row>
    <row r="216">
      <c r="I216" s="3"/>
      <c r="J216" s="3"/>
    </row>
    <row r="217">
      <c r="I217" s="3"/>
      <c r="J217" s="3"/>
    </row>
    <row r="218">
      <c r="I218" s="3"/>
      <c r="J218" s="3"/>
    </row>
    <row r="219">
      <c r="I219" s="3"/>
      <c r="J219" s="3"/>
    </row>
    <row r="220">
      <c r="I220" s="3"/>
      <c r="J220" s="3"/>
    </row>
    <row r="221">
      <c r="I221" s="3"/>
      <c r="J221" s="3"/>
    </row>
    <row r="222">
      <c r="I222" s="3"/>
      <c r="J222" s="3"/>
    </row>
    <row r="223">
      <c r="I223" s="3"/>
      <c r="J223" s="3"/>
    </row>
    <row r="224">
      <c r="I224" s="3"/>
      <c r="J224" s="3"/>
    </row>
    <row r="225">
      <c r="I225" s="3"/>
      <c r="J225" s="3"/>
    </row>
    <row r="226">
      <c r="I226" s="3"/>
      <c r="J226" s="3"/>
    </row>
    <row r="227">
      <c r="I227" s="3"/>
      <c r="J227" s="3"/>
    </row>
    <row r="228">
      <c r="I228" s="3"/>
      <c r="J228" s="3"/>
    </row>
    <row r="229">
      <c r="I229" s="3"/>
      <c r="J229" s="3"/>
    </row>
    <row r="230">
      <c r="I230" s="3"/>
      <c r="J230" s="3"/>
    </row>
    <row r="231">
      <c r="I231" s="3"/>
      <c r="J231" s="3"/>
    </row>
    <row r="232">
      <c r="I232" s="3"/>
      <c r="J232" s="3"/>
    </row>
    <row r="233">
      <c r="I233" s="3"/>
      <c r="J233" s="3"/>
    </row>
    <row r="234">
      <c r="I234" s="3"/>
      <c r="J234" s="3"/>
    </row>
    <row r="235">
      <c r="I235" s="3"/>
      <c r="J235" s="3"/>
    </row>
    <row r="236">
      <c r="I236" s="3"/>
      <c r="J236" s="3"/>
    </row>
    <row r="237">
      <c r="I237" s="3"/>
      <c r="J237" s="3"/>
    </row>
    <row r="238">
      <c r="I238" s="3"/>
      <c r="J238" s="3"/>
    </row>
    <row r="239">
      <c r="I239" s="3"/>
      <c r="J239" s="3"/>
    </row>
    <row r="240">
      <c r="I240" s="3"/>
      <c r="J240" s="3"/>
    </row>
    <row r="241">
      <c r="I241" s="3"/>
      <c r="J241" s="3"/>
    </row>
    <row r="242">
      <c r="I242" s="3"/>
      <c r="J242" s="3"/>
    </row>
    <row r="243">
      <c r="I243" s="3"/>
      <c r="J243" s="3"/>
    </row>
    <row r="244">
      <c r="I244" s="3"/>
      <c r="J244" s="3"/>
    </row>
    <row r="245">
      <c r="I245" s="3"/>
      <c r="J245" s="3"/>
    </row>
    <row r="246">
      <c r="I246" s="3"/>
      <c r="J246" s="3"/>
    </row>
    <row r="247">
      <c r="I247" s="3"/>
      <c r="J247" s="3"/>
    </row>
    <row r="248">
      <c r="I248" s="3"/>
      <c r="J248" s="3"/>
    </row>
    <row r="249">
      <c r="I249" s="3"/>
      <c r="J249" s="3"/>
    </row>
    <row r="250">
      <c r="I250" s="3"/>
      <c r="J250" s="3"/>
    </row>
    <row r="251">
      <c r="I251" s="3"/>
      <c r="J251" s="3"/>
    </row>
    <row r="252">
      <c r="I252" s="3"/>
      <c r="J252" s="3"/>
    </row>
    <row r="253">
      <c r="I253" s="3"/>
      <c r="J253" s="3"/>
    </row>
    <row r="254">
      <c r="I254" s="3"/>
      <c r="J254" s="3"/>
    </row>
    <row r="255">
      <c r="I255" s="3"/>
      <c r="J255" s="3"/>
    </row>
    <row r="256">
      <c r="I256" s="3"/>
      <c r="J256" s="3"/>
    </row>
    <row r="257">
      <c r="I257" s="3"/>
      <c r="J257" s="3"/>
    </row>
    <row r="258">
      <c r="I258" s="3"/>
      <c r="J258" s="3"/>
    </row>
    <row r="259">
      <c r="I259" s="3"/>
      <c r="J259" s="3"/>
    </row>
    <row r="260">
      <c r="I260" s="3"/>
      <c r="J260" s="3"/>
    </row>
    <row r="261">
      <c r="I261" s="3"/>
      <c r="J261" s="3"/>
    </row>
    <row r="262">
      <c r="I262" s="3"/>
      <c r="J262" s="3"/>
    </row>
    <row r="263">
      <c r="I263" s="3"/>
      <c r="J263" s="3"/>
    </row>
    <row r="264">
      <c r="I264" s="3"/>
      <c r="J264" s="3"/>
    </row>
    <row r="265">
      <c r="I265" s="3"/>
      <c r="J265" s="3"/>
    </row>
    <row r="266">
      <c r="I266" s="3"/>
      <c r="J266" s="3"/>
    </row>
    <row r="267">
      <c r="I267" s="3"/>
      <c r="J267" s="3"/>
    </row>
    <row r="268">
      <c r="I268" s="3"/>
      <c r="J268" s="3"/>
    </row>
    <row r="269">
      <c r="I269" s="3"/>
      <c r="J269" s="3"/>
    </row>
    <row r="270">
      <c r="I270" s="3"/>
      <c r="J270" s="3"/>
    </row>
    <row r="271">
      <c r="I271" s="3"/>
      <c r="J271" s="3"/>
    </row>
    <row r="272">
      <c r="I272" s="3"/>
      <c r="J272" s="3"/>
    </row>
    <row r="273">
      <c r="I273" s="3"/>
      <c r="J273" s="3"/>
    </row>
    <row r="274">
      <c r="I274" s="3"/>
      <c r="J274" s="3"/>
    </row>
    <row r="275">
      <c r="I275" s="3"/>
      <c r="J275" s="3"/>
    </row>
    <row r="276">
      <c r="I276" s="3"/>
      <c r="J276" s="3"/>
    </row>
    <row r="277">
      <c r="I277" s="3"/>
      <c r="J277" s="3"/>
    </row>
    <row r="278">
      <c r="I278" s="3"/>
      <c r="J278" s="3"/>
    </row>
    <row r="279">
      <c r="I279" s="3"/>
      <c r="J279" s="3"/>
    </row>
    <row r="280">
      <c r="I280" s="3"/>
      <c r="J280" s="3"/>
    </row>
    <row r="281">
      <c r="I281" s="3"/>
      <c r="J281" s="3"/>
    </row>
    <row r="282">
      <c r="I282" s="3"/>
      <c r="J282" s="3"/>
    </row>
    <row r="283">
      <c r="I283" s="3"/>
      <c r="J283" s="3"/>
    </row>
    <row r="284">
      <c r="I284" s="3"/>
      <c r="J284" s="3"/>
    </row>
    <row r="285">
      <c r="I285" s="3"/>
      <c r="J285" s="3"/>
    </row>
    <row r="286">
      <c r="I286" s="3"/>
      <c r="J286" s="3"/>
    </row>
    <row r="287">
      <c r="I287" s="3"/>
      <c r="J287" s="3"/>
    </row>
    <row r="288">
      <c r="I288" s="3"/>
      <c r="J288" s="3"/>
    </row>
    <row r="289">
      <c r="I289" s="3"/>
      <c r="J289" s="3"/>
    </row>
    <row r="290">
      <c r="I290" s="3"/>
      <c r="J290" s="3"/>
    </row>
    <row r="291">
      <c r="I291" s="3"/>
      <c r="J291" s="3"/>
    </row>
    <row r="292">
      <c r="I292" s="3"/>
      <c r="J292" s="3"/>
    </row>
    <row r="293">
      <c r="I293" s="3"/>
      <c r="J293" s="3"/>
    </row>
    <row r="294">
      <c r="I294" s="3"/>
      <c r="J294" s="3"/>
    </row>
    <row r="295">
      <c r="I295" s="3"/>
      <c r="J295" s="3"/>
    </row>
    <row r="296">
      <c r="I296" s="3"/>
      <c r="J296" s="3"/>
    </row>
    <row r="297">
      <c r="I297" s="3"/>
      <c r="J297" s="3"/>
    </row>
    <row r="298">
      <c r="I298" s="3"/>
      <c r="J298" s="3"/>
    </row>
    <row r="299">
      <c r="I299" s="3"/>
      <c r="J299" s="3"/>
    </row>
    <row r="300">
      <c r="I300" s="3"/>
      <c r="J300" s="3"/>
    </row>
    <row r="301">
      <c r="I301" s="3"/>
      <c r="J301" s="3"/>
    </row>
    <row r="302">
      <c r="I302" s="3"/>
      <c r="J302" s="3"/>
    </row>
    <row r="303">
      <c r="I303" s="3"/>
      <c r="J303" s="3"/>
    </row>
    <row r="304">
      <c r="I304" s="3"/>
      <c r="J304" s="3"/>
    </row>
    <row r="305">
      <c r="I305" s="3"/>
      <c r="J305" s="3"/>
    </row>
    <row r="306">
      <c r="I306" s="3"/>
      <c r="J306" s="3"/>
    </row>
    <row r="307">
      <c r="I307" s="3"/>
      <c r="J307" s="3"/>
    </row>
    <row r="308">
      <c r="I308" s="3"/>
      <c r="J308" s="3"/>
    </row>
    <row r="309">
      <c r="I309" s="3"/>
      <c r="J309" s="3"/>
    </row>
    <row r="310">
      <c r="I310" s="3"/>
      <c r="J310" s="3"/>
    </row>
    <row r="311">
      <c r="I311" s="3"/>
      <c r="J311" s="3"/>
    </row>
    <row r="312">
      <c r="I312" s="3"/>
      <c r="J312" s="3"/>
    </row>
    <row r="313">
      <c r="I313" s="3"/>
      <c r="J313" s="3"/>
    </row>
    <row r="314">
      <c r="I314" s="3"/>
      <c r="J314" s="3"/>
    </row>
    <row r="315">
      <c r="I315" s="3"/>
      <c r="J315" s="3"/>
    </row>
    <row r="316">
      <c r="I316" s="3"/>
      <c r="J316" s="3"/>
    </row>
    <row r="317">
      <c r="I317" s="3"/>
      <c r="J317" s="3"/>
    </row>
    <row r="318">
      <c r="I318" s="3"/>
      <c r="J318" s="3"/>
    </row>
    <row r="319">
      <c r="I319" s="3"/>
      <c r="J319" s="3"/>
    </row>
    <row r="320">
      <c r="I320" s="3"/>
      <c r="J320" s="3"/>
    </row>
    <row r="321">
      <c r="I321" s="3"/>
      <c r="J321" s="3"/>
    </row>
    <row r="322">
      <c r="I322" s="3"/>
      <c r="J322" s="3"/>
    </row>
    <row r="323">
      <c r="I323" s="3"/>
      <c r="J323" s="3"/>
    </row>
    <row r="324">
      <c r="I324" s="3"/>
      <c r="J324" s="3"/>
    </row>
    <row r="325">
      <c r="I325" s="3"/>
      <c r="J325" s="3"/>
    </row>
    <row r="326">
      <c r="I326" s="3"/>
      <c r="J326" s="3"/>
    </row>
    <row r="327">
      <c r="I327" s="3"/>
      <c r="J327" s="3"/>
    </row>
    <row r="328">
      <c r="I328" s="3"/>
      <c r="J328" s="3"/>
    </row>
    <row r="329">
      <c r="I329" s="3"/>
      <c r="J329" s="3"/>
    </row>
    <row r="330">
      <c r="I330" s="3"/>
      <c r="J330" s="3"/>
    </row>
    <row r="331">
      <c r="I331" s="3"/>
      <c r="J331" s="3"/>
    </row>
    <row r="332">
      <c r="I332" s="3"/>
      <c r="J332" s="3"/>
    </row>
    <row r="333">
      <c r="I333" s="3"/>
      <c r="J333" s="3"/>
    </row>
    <row r="334">
      <c r="I334" s="3"/>
      <c r="J334" s="3"/>
    </row>
    <row r="335">
      <c r="I335" s="3"/>
      <c r="J335" s="3"/>
    </row>
    <row r="336">
      <c r="I336" s="3"/>
      <c r="J336" s="3"/>
    </row>
    <row r="337">
      <c r="I337" s="3"/>
      <c r="J337" s="3"/>
    </row>
    <row r="338">
      <c r="I338" s="3"/>
      <c r="J338" s="3"/>
    </row>
    <row r="339">
      <c r="I339" s="3"/>
      <c r="J339" s="3"/>
    </row>
    <row r="340">
      <c r="I340" s="3"/>
      <c r="J340" s="3"/>
    </row>
    <row r="341">
      <c r="I341" s="3"/>
      <c r="J341" s="3"/>
    </row>
    <row r="342">
      <c r="I342" s="3"/>
      <c r="J342" s="3"/>
    </row>
    <row r="343">
      <c r="I343" s="3"/>
      <c r="J343" s="3"/>
    </row>
    <row r="344">
      <c r="I344" s="3"/>
      <c r="J344" s="3"/>
    </row>
    <row r="345">
      <c r="I345" s="3"/>
      <c r="J345" s="3"/>
    </row>
    <row r="346">
      <c r="I346" s="3"/>
      <c r="J346" s="3"/>
    </row>
    <row r="347">
      <c r="I347" s="3"/>
      <c r="J347" s="3"/>
    </row>
    <row r="348">
      <c r="I348" s="3"/>
      <c r="J348" s="3"/>
    </row>
    <row r="349">
      <c r="I349" s="3"/>
      <c r="J349" s="3"/>
    </row>
    <row r="350">
      <c r="I350" s="3"/>
      <c r="J350" s="3"/>
    </row>
    <row r="351">
      <c r="I351" s="3"/>
      <c r="J351" s="3"/>
    </row>
    <row r="352">
      <c r="I352" s="3"/>
      <c r="J352" s="3"/>
    </row>
    <row r="353">
      <c r="I353" s="3"/>
      <c r="J353" s="3"/>
    </row>
    <row r="354">
      <c r="I354" s="3"/>
      <c r="J354" s="3"/>
    </row>
    <row r="355">
      <c r="I355" s="3"/>
      <c r="J355" s="3"/>
    </row>
    <row r="356">
      <c r="I356" s="3"/>
      <c r="J356" s="3"/>
    </row>
    <row r="357">
      <c r="I357" s="3"/>
      <c r="J357" s="3"/>
    </row>
    <row r="358">
      <c r="I358" s="3"/>
      <c r="J358" s="3"/>
    </row>
    <row r="359">
      <c r="I359" s="3"/>
      <c r="J359" s="3"/>
    </row>
    <row r="360">
      <c r="I360" s="3"/>
      <c r="J360" s="3"/>
    </row>
    <row r="361">
      <c r="I361" s="3"/>
      <c r="J361" s="3"/>
    </row>
    <row r="362">
      <c r="I362" s="3"/>
      <c r="J362" s="3"/>
    </row>
    <row r="363">
      <c r="I363" s="3"/>
      <c r="J363" s="3"/>
    </row>
    <row r="364">
      <c r="I364" s="3"/>
      <c r="J364" s="3"/>
    </row>
    <row r="365">
      <c r="I365" s="3"/>
      <c r="J365" s="3"/>
    </row>
    <row r="366">
      <c r="I366" s="3"/>
      <c r="J366" s="3"/>
    </row>
    <row r="367">
      <c r="I367" s="3"/>
      <c r="J367" s="3"/>
    </row>
    <row r="368">
      <c r="I368" s="3"/>
      <c r="J368" s="3"/>
    </row>
    <row r="369">
      <c r="I369" s="3"/>
      <c r="J369" s="3"/>
    </row>
    <row r="370">
      <c r="I370" s="3"/>
      <c r="J370" s="3"/>
    </row>
    <row r="371">
      <c r="I371" s="3"/>
      <c r="J371" s="3"/>
    </row>
    <row r="372">
      <c r="I372" s="3"/>
      <c r="J372" s="3"/>
    </row>
    <row r="373">
      <c r="I373" s="3"/>
      <c r="J373" s="3"/>
    </row>
    <row r="374">
      <c r="I374" s="3"/>
      <c r="J374" s="3"/>
    </row>
    <row r="375">
      <c r="I375" s="3"/>
      <c r="J375" s="3"/>
    </row>
    <row r="376">
      <c r="I376" s="3"/>
      <c r="J376" s="3"/>
    </row>
    <row r="377">
      <c r="I377" s="3"/>
      <c r="J377" s="3"/>
    </row>
    <row r="378">
      <c r="I378" s="3"/>
      <c r="J378" s="3"/>
    </row>
    <row r="379">
      <c r="I379" s="3"/>
      <c r="J379" s="3"/>
    </row>
    <row r="380">
      <c r="I380" s="3"/>
      <c r="J380" s="3"/>
    </row>
    <row r="381">
      <c r="I381" s="3"/>
      <c r="J381" s="3"/>
    </row>
    <row r="382">
      <c r="I382" s="3"/>
      <c r="J382" s="3"/>
    </row>
    <row r="383">
      <c r="I383" s="3"/>
      <c r="J383" s="3"/>
    </row>
    <row r="384">
      <c r="I384" s="3"/>
      <c r="J384" s="3"/>
    </row>
    <row r="385">
      <c r="I385" s="3"/>
      <c r="J385" s="3"/>
    </row>
    <row r="386">
      <c r="I386" s="3"/>
      <c r="J386" s="3"/>
    </row>
    <row r="387">
      <c r="I387" s="3"/>
      <c r="J387" s="3"/>
    </row>
    <row r="388">
      <c r="I388" s="3"/>
      <c r="J388" s="3"/>
    </row>
    <row r="389">
      <c r="I389" s="3"/>
      <c r="J389" s="3"/>
    </row>
    <row r="390">
      <c r="I390" s="3"/>
      <c r="J390" s="3"/>
    </row>
    <row r="391">
      <c r="I391" s="3"/>
      <c r="J391" s="3"/>
    </row>
    <row r="392">
      <c r="I392" s="3"/>
      <c r="J392" s="3"/>
    </row>
    <row r="393">
      <c r="I393" s="3"/>
      <c r="J393" s="3"/>
    </row>
    <row r="394">
      <c r="I394" s="3"/>
      <c r="J394" s="3"/>
    </row>
    <row r="395">
      <c r="I395" s="3"/>
      <c r="J395" s="3"/>
    </row>
    <row r="396">
      <c r="I396" s="3"/>
      <c r="J396" s="3"/>
    </row>
    <row r="397">
      <c r="I397" s="3"/>
      <c r="J397" s="3"/>
    </row>
    <row r="398">
      <c r="I398" s="3"/>
      <c r="J398" s="3"/>
    </row>
    <row r="399">
      <c r="I399" s="3"/>
      <c r="J399" s="3"/>
    </row>
    <row r="400">
      <c r="I400" s="3"/>
      <c r="J400" s="3"/>
    </row>
    <row r="401">
      <c r="I401" s="3"/>
      <c r="J401" s="3"/>
    </row>
    <row r="402">
      <c r="I402" s="3"/>
      <c r="J402" s="3"/>
    </row>
    <row r="403">
      <c r="I403" s="3"/>
      <c r="J403" s="3"/>
    </row>
    <row r="404">
      <c r="I404" s="3"/>
      <c r="J404" s="3"/>
    </row>
    <row r="405">
      <c r="I405" s="3"/>
      <c r="J405" s="3"/>
    </row>
    <row r="406">
      <c r="I406" s="3"/>
      <c r="J406" s="3"/>
    </row>
    <row r="407">
      <c r="I407" s="3"/>
      <c r="J407" s="3"/>
    </row>
    <row r="408">
      <c r="I408" s="3"/>
      <c r="J408" s="3"/>
    </row>
    <row r="409">
      <c r="I409" s="3"/>
      <c r="J409" s="3"/>
    </row>
    <row r="410">
      <c r="I410" s="3"/>
      <c r="J410" s="3"/>
    </row>
    <row r="411">
      <c r="I411" s="3"/>
      <c r="J411" s="3"/>
    </row>
    <row r="412">
      <c r="I412" s="3"/>
      <c r="J412" s="3"/>
    </row>
    <row r="413">
      <c r="I413" s="3"/>
      <c r="J413" s="3"/>
    </row>
    <row r="414">
      <c r="I414" s="3"/>
      <c r="J414" s="3"/>
    </row>
    <row r="415">
      <c r="I415" s="3"/>
      <c r="J415" s="3"/>
    </row>
    <row r="416">
      <c r="I416" s="3"/>
      <c r="J416" s="3"/>
    </row>
    <row r="417">
      <c r="I417" s="3"/>
      <c r="J417" s="3"/>
    </row>
    <row r="418">
      <c r="I418" s="3"/>
      <c r="J418" s="3"/>
    </row>
    <row r="419">
      <c r="I419" s="3"/>
      <c r="J419" s="3"/>
    </row>
    <row r="420">
      <c r="I420" s="3"/>
      <c r="J420" s="3"/>
    </row>
    <row r="421">
      <c r="I421" s="3"/>
      <c r="J421" s="3"/>
    </row>
    <row r="422">
      <c r="I422" s="3"/>
      <c r="J422" s="3"/>
    </row>
    <row r="423">
      <c r="I423" s="3"/>
      <c r="J423" s="3"/>
    </row>
    <row r="424">
      <c r="I424" s="3"/>
      <c r="J424" s="3"/>
    </row>
    <row r="425">
      <c r="I425" s="3"/>
      <c r="J425" s="3"/>
    </row>
    <row r="426">
      <c r="I426" s="3"/>
      <c r="J426" s="3"/>
    </row>
    <row r="427">
      <c r="I427" s="3"/>
      <c r="J427" s="3"/>
    </row>
    <row r="428">
      <c r="I428" s="3"/>
      <c r="J428" s="3"/>
    </row>
    <row r="429">
      <c r="I429" s="3"/>
      <c r="J429" s="3"/>
    </row>
    <row r="430">
      <c r="I430" s="3"/>
      <c r="J430" s="3"/>
    </row>
    <row r="431">
      <c r="I431" s="3"/>
      <c r="J431" s="3"/>
    </row>
    <row r="432">
      <c r="I432" s="3"/>
      <c r="J432" s="3"/>
    </row>
    <row r="433">
      <c r="I433" s="3"/>
      <c r="J433" s="3"/>
    </row>
    <row r="434">
      <c r="I434" s="3"/>
      <c r="J434" s="3"/>
    </row>
    <row r="435">
      <c r="I435" s="3"/>
      <c r="J435" s="3"/>
    </row>
    <row r="436">
      <c r="I436" s="3"/>
      <c r="J436" s="3"/>
    </row>
    <row r="437">
      <c r="I437" s="3"/>
      <c r="J437" s="3"/>
    </row>
    <row r="438">
      <c r="I438" s="3"/>
      <c r="J438" s="3"/>
    </row>
    <row r="439">
      <c r="I439" s="3"/>
      <c r="J439" s="3"/>
    </row>
    <row r="440">
      <c r="I440" s="3"/>
      <c r="J440" s="3"/>
    </row>
    <row r="441">
      <c r="I441" s="3"/>
      <c r="J441" s="3"/>
    </row>
    <row r="442">
      <c r="I442" s="3"/>
      <c r="J442" s="3"/>
    </row>
    <row r="443">
      <c r="I443" s="3"/>
      <c r="J443" s="3"/>
    </row>
    <row r="444">
      <c r="I444" s="3"/>
      <c r="J444" s="3"/>
    </row>
    <row r="445">
      <c r="I445" s="3"/>
      <c r="J445" s="3"/>
    </row>
    <row r="446">
      <c r="I446" s="3"/>
      <c r="J446" s="3"/>
    </row>
    <row r="447">
      <c r="I447" s="3"/>
      <c r="J447" s="3"/>
    </row>
    <row r="448">
      <c r="I448" s="3"/>
      <c r="J448" s="3"/>
    </row>
    <row r="449">
      <c r="I449" s="3"/>
      <c r="J449" s="3"/>
    </row>
    <row r="450">
      <c r="I450" s="3"/>
      <c r="J450" s="3"/>
    </row>
    <row r="451">
      <c r="I451" s="3"/>
      <c r="J451" s="3"/>
    </row>
    <row r="452">
      <c r="I452" s="3"/>
      <c r="J452" s="3"/>
    </row>
    <row r="453">
      <c r="I453" s="3"/>
      <c r="J453" s="3"/>
    </row>
    <row r="454">
      <c r="I454" s="3"/>
      <c r="J454" s="3"/>
    </row>
    <row r="455">
      <c r="I455" s="3"/>
      <c r="J455" s="3"/>
    </row>
    <row r="456">
      <c r="I456" s="3"/>
      <c r="J456" s="3"/>
    </row>
    <row r="457">
      <c r="I457" s="3"/>
      <c r="J457" s="3"/>
    </row>
    <row r="458">
      <c r="I458" s="3"/>
      <c r="J458" s="3"/>
    </row>
    <row r="459">
      <c r="I459" s="3"/>
      <c r="J459" s="3"/>
    </row>
    <row r="460">
      <c r="I460" s="3"/>
      <c r="J460" s="3"/>
    </row>
    <row r="461">
      <c r="I461" s="3"/>
      <c r="J461" s="3"/>
    </row>
    <row r="462">
      <c r="I462" s="3"/>
      <c r="J462" s="3"/>
    </row>
    <row r="463">
      <c r="I463" s="3"/>
      <c r="J463" s="3"/>
    </row>
    <row r="464">
      <c r="I464" s="3"/>
      <c r="J464" s="3"/>
    </row>
    <row r="465">
      <c r="I465" s="3"/>
      <c r="J465" s="3"/>
    </row>
    <row r="466">
      <c r="I466" s="3"/>
      <c r="J466" s="3"/>
    </row>
    <row r="467">
      <c r="I467" s="3"/>
      <c r="J467" s="3"/>
    </row>
    <row r="468">
      <c r="I468" s="3"/>
      <c r="J468" s="3"/>
    </row>
    <row r="469">
      <c r="I469" s="3"/>
      <c r="J469" s="3"/>
    </row>
    <row r="470">
      <c r="I470" s="3"/>
      <c r="J470" s="3"/>
    </row>
    <row r="471">
      <c r="I471" s="3"/>
      <c r="J471" s="3"/>
    </row>
    <row r="472">
      <c r="I472" s="3"/>
      <c r="J472" s="3"/>
    </row>
    <row r="473">
      <c r="I473" s="3"/>
      <c r="J473" s="3"/>
    </row>
    <row r="474">
      <c r="I474" s="3"/>
      <c r="J474" s="3"/>
    </row>
    <row r="475">
      <c r="I475" s="3"/>
      <c r="J475" s="3"/>
    </row>
    <row r="476">
      <c r="I476" s="3"/>
      <c r="J476" s="3"/>
    </row>
    <row r="477">
      <c r="I477" s="3"/>
      <c r="J477" s="3"/>
    </row>
    <row r="478">
      <c r="I478" s="3"/>
      <c r="J478" s="3"/>
    </row>
    <row r="479">
      <c r="I479" s="3"/>
      <c r="J479" s="3"/>
    </row>
    <row r="480">
      <c r="I480" s="3"/>
      <c r="J480" s="3"/>
    </row>
    <row r="481">
      <c r="I481" s="3"/>
      <c r="J481" s="3"/>
    </row>
    <row r="482">
      <c r="I482" s="3"/>
      <c r="J482" s="3"/>
    </row>
    <row r="483">
      <c r="I483" s="3"/>
      <c r="J483" s="3"/>
    </row>
    <row r="484">
      <c r="I484" s="3"/>
      <c r="J484" s="3"/>
    </row>
    <row r="485">
      <c r="I485" s="3"/>
      <c r="J485" s="3"/>
    </row>
    <row r="486">
      <c r="I486" s="3"/>
      <c r="J486" s="3"/>
    </row>
    <row r="487">
      <c r="I487" s="3"/>
      <c r="J487" s="3"/>
    </row>
    <row r="488">
      <c r="I488" s="3"/>
      <c r="J488" s="3"/>
    </row>
    <row r="489">
      <c r="I489" s="3"/>
      <c r="J489" s="3"/>
    </row>
    <row r="490">
      <c r="I490" s="3"/>
      <c r="J490" s="3"/>
    </row>
    <row r="491">
      <c r="I491" s="3"/>
      <c r="J491" s="3"/>
    </row>
    <row r="492">
      <c r="I492" s="3"/>
      <c r="J492" s="3"/>
    </row>
    <row r="493">
      <c r="I493" s="3"/>
      <c r="J493" s="3"/>
    </row>
    <row r="494">
      <c r="I494" s="3"/>
      <c r="J494" s="3"/>
    </row>
    <row r="495">
      <c r="I495" s="3"/>
      <c r="J495" s="3"/>
    </row>
    <row r="496">
      <c r="I496" s="3"/>
      <c r="J496" s="3"/>
    </row>
    <row r="497">
      <c r="I497" s="3"/>
      <c r="J497" s="3"/>
    </row>
    <row r="498">
      <c r="I498" s="3"/>
      <c r="J498" s="3"/>
    </row>
    <row r="499">
      <c r="I499" s="3"/>
      <c r="J499" s="3"/>
    </row>
    <row r="500">
      <c r="I500" s="3"/>
      <c r="J500" s="3"/>
    </row>
    <row r="501">
      <c r="I501" s="3"/>
      <c r="J501" s="3"/>
    </row>
    <row r="502">
      <c r="I502" s="3"/>
      <c r="J502" s="3"/>
    </row>
    <row r="503">
      <c r="I503" s="3"/>
      <c r="J503" s="3"/>
    </row>
    <row r="504">
      <c r="I504" s="3"/>
      <c r="J504" s="3"/>
    </row>
    <row r="505">
      <c r="I505" s="3"/>
      <c r="J505" s="3"/>
    </row>
    <row r="506">
      <c r="I506" s="3"/>
      <c r="J506" s="3"/>
    </row>
    <row r="507">
      <c r="I507" s="3"/>
      <c r="J507" s="3"/>
    </row>
    <row r="508">
      <c r="I508" s="3"/>
      <c r="J508" s="3"/>
    </row>
    <row r="509">
      <c r="I509" s="3"/>
      <c r="J509" s="3"/>
    </row>
    <row r="510">
      <c r="I510" s="3"/>
      <c r="J510" s="3"/>
    </row>
    <row r="511">
      <c r="I511" s="3"/>
      <c r="J511" s="3"/>
    </row>
    <row r="512">
      <c r="I512" s="3"/>
      <c r="J512" s="3"/>
    </row>
    <row r="513">
      <c r="I513" s="3"/>
      <c r="J513" s="3"/>
    </row>
    <row r="514">
      <c r="I514" s="3"/>
      <c r="J514" s="3"/>
    </row>
    <row r="515">
      <c r="I515" s="3"/>
      <c r="J515" s="3"/>
    </row>
    <row r="516">
      <c r="I516" s="3"/>
      <c r="J516" s="3"/>
    </row>
    <row r="517">
      <c r="I517" s="3"/>
      <c r="J517" s="3"/>
    </row>
    <row r="518">
      <c r="I518" s="3"/>
      <c r="J518" s="3"/>
    </row>
    <row r="519">
      <c r="I519" s="3"/>
      <c r="J519" s="3"/>
    </row>
    <row r="520">
      <c r="I520" s="3"/>
      <c r="J520" s="3"/>
    </row>
    <row r="521">
      <c r="I521" s="3"/>
      <c r="J521" s="3"/>
    </row>
    <row r="522">
      <c r="I522" s="3"/>
      <c r="J522" s="3"/>
    </row>
    <row r="523">
      <c r="I523" s="3"/>
      <c r="J523" s="3"/>
    </row>
    <row r="524">
      <c r="I524" s="3"/>
      <c r="J524" s="3"/>
    </row>
    <row r="525">
      <c r="I525" s="3"/>
      <c r="J525" s="3"/>
    </row>
    <row r="526">
      <c r="I526" s="3"/>
      <c r="J526" s="3"/>
    </row>
    <row r="527">
      <c r="I527" s="3"/>
      <c r="J527" s="3"/>
    </row>
    <row r="528">
      <c r="I528" s="3"/>
      <c r="J528" s="3"/>
    </row>
    <row r="529">
      <c r="I529" s="3"/>
      <c r="J529" s="3"/>
    </row>
    <row r="530">
      <c r="I530" s="3"/>
      <c r="J530" s="3"/>
    </row>
    <row r="531">
      <c r="I531" s="3"/>
      <c r="J531" s="3"/>
    </row>
    <row r="532">
      <c r="I532" s="3"/>
      <c r="J532" s="3"/>
    </row>
    <row r="533">
      <c r="I533" s="3"/>
      <c r="J533" s="3"/>
    </row>
    <row r="534">
      <c r="I534" s="3"/>
      <c r="J534" s="3"/>
    </row>
    <row r="535">
      <c r="I535" s="3"/>
      <c r="J535" s="3"/>
    </row>
    <row r="536">
      <c r="I536" s="3"/>
      <c r="J536" s="3"/>
    </row>
    <row r="537">
      <c r="I537" s="3"/>
      <c r="J537" s="3"/>
    </row>
    <row r="538">
      <c r="I538" s="3"/>
      <c r="J538" s="3"/>
    </row>
    <row r="539">
      <c r="I539" s="3"/>
      <c r="J539" s="3"/>
    </row>
    <row r="540">
      <c r="I540" s="3"/>
      <c r="J540" s="3"/>
    </row>
    <row r="541">
      <c r="I541" s="3"/>
      <c r="J541" s="3"/>
    </row>
    <row r="542">
      <c r="I542" s="3"/>
      <c r="J542" s="3"/>
    </row>
    <row r="543">
      <c r="I543" s="3"/>
      <c r="J543" s="3"/>
    </row>
    <row r="544">
      <c r="I544" s="3"/>
      <c r="J544" s="3"/>
    </row>
    <row r="545">
      <c r="I545" s="3"/>
      <c r="J545" s="3"/>
    </row>
    <row r="546">
      <c r="I546" s="3"/>
      <c r="J546" s="3"/>
    </row>
    <row r="547">
      <c r="I547" s="3"/>
      <c r="J547" s="3"/>
    </row>
    <row r="548">
      <c r="I548" s="3"/>
      <c r="J548" s="3"/>
    </row>
    <row r="549">
      <c r="I549" s="3"/>
      <c r="J549" s="3"/>
    </row>
    <row r="550">
      <c r="I550" s="3"/>
      <c r="J550" s="3"/>
    </row>
    <row r="551">
      <c r="I551" s="3"/>
      <c r="J551" s="3"/>
    </row>
    <row r="552">
      <c r="I552" s="3"/>
      <c r="J552" s="3"/>
    </row>
    <row r="553">
      <c r="I553" s="3"/>
      <c r="J553" s="3"/>
    </row>
    <row r="554">
      <c r="I554" s="3"/>
      <c r="J554" s="3"/>
    </row>
    <row r="555">
      <c r="I555" s="3"/>
      <c r="J555" s="3"/>
    </row>
    <row r="556">
      <c r="I556" s="3"/>
      <c r="J556" s="3"/>
    </row>
    <row r="557">
      <c r="I557" s="3"/>
      <c r="J557" s="3"/>
    </row>
    <row r="558">
      <c r="I558" s="3"/>
      <c r="J558" s="3"/>
    </row>
    <row r="559">
      <c r="I559" s="3"/>
      <c r="J559" s="3"/>
    </row>
    <row r="560">
      <c r="I560" s="3"/>
      <c r="J560" s="3"/>
    </row>
    <row r="561">
      <c r="I561" s="3"/>
      <c r="J561" s="3"/>
    </row>
    <row r="562">
      <c r="I562" s="3"/>
      <c r="J562" s="3"/>
    </row>
    <row r="563">
      <c r="I563" s="3"/>
      <c r="J563" s="3"/>
    </row>
    <row r="564">
      <c r="I564" s="3"/>
      <c r="J564" s="3"/>
    </row>
    <row r="565">
      <c r="I565" s="3"/>
      <c r="J565" s="3"/>
    </row>
    <row r="566">
      <c r="I566" s="3"/>
      <c r="J566" s="3"/>
    </row>
    <row r="567">
      <c r="I567" s="3"/>
      <c r="J567" s="3"/>
    </row>
    <row r="568">
      <c r="I568" s="3"/>
      <c r="J568" s="3"/>
    </row>
    <row r="569">
      <c r="I569" s="3"/>
      <c r="J569" s="3"/>
    </row>
    <row r="570">
      <c r="I570" s="3"/>
      <c r="J570" s="3"/>
    </row>
    <row r="571">
      <c r="I571" s="3"/>
      <c r="J571" s="3"/>
    </row>
    <row r="572">
      <c r="I572" s="3"/>
      <c r="J572" s="3"/>
    </row>
    <row r="573">
      <c r="I573" s="3"/>
      <c r="J573" s="3"/>
    </row>
    <row r="574">
      <c r="I574" s="3"/>
      <c r="J574" s="3"/>
    </row>
    <row r="575">
      <c r="I575" s="3"/>
      <c r="J575" s="3"/>
    </row>
    <row r="576">
      <c r="I576" s="3"/>
      <c r="J576" s="3"/>
    </row>
    <row r="577">
      <c r="I577" s="3"/>
      <c r="J577" s="3"/>
    </row>
    <row r="578">
      <c r="I578" s="3"/>
      <c r="J578" s="3"/>
    </row>
    <row r="579">
      <c r="I579" s="3"/>
      <c r="J579" s="3"/>
    </row>
    <row r="580">
      <c r="I580" s="3"/>
      <c r="J580" s="3"/>
    </row>
    <row r="581">
      <c r="I581" s="3"/>
      <c r="J581" s="3"/>
    </row>
    <row r="582">
      <c r="I582" s="3"/>
      <c r="J582" s="3"/>
    </row>
    <row r="583">
      <c r="I583" s="3"/>
      <c r="J583" s="3"/>
    </row>
    <row r="584">
      <c r="I584" s="3"/>
      <c r="J584" s="3"/>
    </row>
    <row r="585">
      <c r="I585" s="3"/>
      <c r="J585" s="3"/>
    </row>
    <row r="586">
      <c r="I586" s="3"/>
      <c r="J586" s="3"/>
    </row>
    <row r="587">
      <c r="I587" s="3"/>
      <c r="J587" s="3"/>
    </row>
    <row r="588">
      <c r="I588" s="3"/>
      <c r="J588" s="3"/>
    </row>
    <row r="589">
      <c r="I589" s="3"/>
      <c r="J589" s="3"/>
    </row>
    <row r="590">
      <c r="I590" s="3"/>
      <c r="J590" s="3"/>
    </row>
    <row r="591">
      <c r="I591" s="3"/>
      <c r="J591" s="3"/>
    </row>
    <row r="592">
      <c r="I592" s="3"/>
      <c r="J592" s="3"/>
    </row>
    <row r="593">
      <c r="I593" s="3"/>
      <c r="J593" s="3"/>
    </row>
    <row r="594">
      <c r="I594" s="3"/>
      <c r="J594" s="3"/>
    </row>
    <row r="595">
      <c r="I595" s="3"/>
      <c r="J595" s="3"/>
    </row>
    <row r="596">
      <c r="I596" s="3"/>
      <c r="J596" s="3"/>
    </row>
    <row r="597">
      <c r="I597" s="3"/>
      <c r="J597" s="3"/>
    </row>
    <row r="598">
      <c r="I598" s="3"/>
      <c r="J598" s="3"/>
    </row>
    <row r="599">
      <c r="I599" s="3"/>
      <c r="J599" s="3"/>
    </row>
    <row r="600">
      <c r="I600" s="3"/>
      <c r="J600" s="3"/>
    </row>
    <row r="601">
      <c r="I601" s="3"/>
      <c r="J601" s="3"/>
    </row>
    <row r="602">
      <c r="I602" s="3"/>
      <c r="J602" s="3"/>
    </row>
    <row r="603">
      <c r="I603" s="3"/>
      <c r="J603" s="3"/>
    </row>
    <row r="604">
      <c r="I604" s="3"/>
      <c r="J604" s="3"/>
    </row>
    <row r="605">
      <c r="I605" s="3"/>
      <c r="J605" s="3"/>
    </row>
    <row r="606">
      <c r="I606" s="3"/>
      <c r="J606" s="3"/>
    </row>
    <row r="607">
      <c r="I607" s="3"/>
      <c r="J607" s="3"/>
    </row>
    <row r="608">
      <c r="I608" s="3"/>
      <c r="J608" s="3"/>
    </row>
    <row r="609">
      <c r="I609" s="3"/>
      <c r="J609" s="3"/>
    </row>
    <row r="610">
      <c r="I610" s="3"/>
      <c r="J610" s="3"/>
    </row>
    <row r="611">
      <c r="I611" s="3"/>
      <c r="J611" s="3"/>
    </row>
    <row r="612">
      <c r="I612" s="3"/>
      <c r="J612" s="3"/>
    </row>
    <row r="613">
      <c r="I613" s="3"/>
      <c r="J613" s="3"/>
    </row>
    <row r="614">
      <c r="I614" s="3"/>
      <c r="J614" s="3"/>
    </row>
    <row r="615">
      <c r="I615" s="3"/>
      <c r="J615" s="3"/>
    </row>
    <row r="616">
      <c r="I616" s="3"/>
      <c r="J616" s="3"/>
    </row>
    <row r="617">
      <c r="I617" s="3"/>
      <c r="J617" s="3"/>
    </row>
    <row r="618">
      <c r="I618" s="3"/>
      <c r="J618" s="3"/>
    </row>
    <row r="619">
      <c r="I619" s="3"/>
      <c r="J619" s="3"/>
    </row>
    <row r="620">
      <c r="I620" s="3"/>
      <c r="J620" s="3"/>
    </row>
    <row r="621">
      <c r="I621" s="3"/>
      <c r="J621" s="3"/>
    </row>
    <row r="622">
      <c r="I622" s="3"/>
      <c r="J622" s="3"/>
    </row>
    <row r="623">
      <c r="I623" s="3"/>
      <c r="J623" s="3"/>
    </row>
    <row r="624">
      <c r="I624" s="3"/>
      <c r="J624" s="3"/>
    </row>
    <row r="625">
      <c r="I625" s="3"/>
      <c r="J625" s="3"/>
    </row>
    <row r="626">
      <c r="I626" s="3"/>
      <c r="J626" s="3"/>
    </row>
    <row r="627">
      <c r="I627" s="3"/>
      <c r="J627" s="3"/>
    </row>
    <row r="628">
      <c r="I628" s="3"/>
      <c r="J628" s="3"/>
    </row>
    <row r="629">
      <c r="I629" s="3"/>
      <c r="J629" s="3"/>
    </row>
    <row r="630">
      <c r="I630" s="3"/>
      <c r="J630" s="3"/>
    </row>
    <row r="631">
      <c r="I631" s="3"/>
      <c r="J631" s="3"/>
    </row>
    <row r="632">
      <c r="I632" s="3"/>
      <c r="J632" s="3"/>
    </row>
    <row r="633">
      <c r="I633" s="3"/>
      <c r="J633" s="3"/>
    </row>
    <row r="634">
      <c r="I634" s="3"/>
      <c r="J634" s="3"/>
    </row>
    <row r="635">
      <c r="I635" s="3"/>
      <c r="J635" s="3"/>
    </row>
    <row r="636">
      <c r="I636" s="3"/>
      <c r="J636" s="3"/>
    </row>
    <row r="637">
      <c r="I637" s="3"/>
      <c r="J637" s="3"/>
    </row>
    <row r="638">
      <c r="I638" s="3"/>
      <c r="J638" s="3"/>
    </row>
    <row r="639">
      <c r="I639" s="3"/>
      <c r="J639" s="3"/>
    </row>
    <row r="640">
      <c r="I640" s="3"/>
      <c r="J640" s="3"/>
    </row>
    <row r="641">
      <c r="I641" s="3"/>
      <c r="J641" s="3"/>
    </row>
    <row r="642">
      <c r="I642" s="3"/>
      <c r="J642" s="3"/>
    </row>
    <row r="643">
      <c r="I643" s="3"/>
      <c r="J643" s="3"/>
    </row>
    <row r="644">
      <c r="I644" s="3"/>
      <c r="J644" s="3"/>
    </row>
    <row r="645">
      <c r="I645" s="3"/>
      <c r="J645" s="3"/>
    </row>
    <row r="646">
      <c r="I646" s="3"/>
      <c r="J646" s="3"/>
    </row>
    <row r="647">
      <c r="I647" s="3"/>
      <c r="J647" s="3"/>
    </row>
    <row r="648">
      <c r="I648" s="3"/>
      <c r="J648" s="3"/>
    </row>
    <row r="649">
      <c r="I649" s="3"/>
      <c r="J649" s="3"/>
    </row>
    <row r="650">
      <c r="I650" s="3"/>
      <c r="J650" s="3"/>
    </row>
    <row r="651">
      <c r="I651" s="3"/>
      <c r="J651" s="3"/>
    </row>
    <row r="652">
      <c r="I652" s="3"/>
      <c r="J652" s="3"/>
    </row>
    <row r="653">
      <c r="I653" s="3"/>
      <c r="J653" s="3"/>
    </row>
    <row r="654">
      <c r="I654" s="3"/>
      <c r="J654" s="3"/>
    </row>
    <row r="655">
      <c r="I655" s="3"/>
      <c r="J655" s="3"/>
    </row>
    <row r="656">
      <c r="I656" s="3"/>
      <c r="J656" s="3"/>
    </row>
    <row r="657">
      <c r="I657" s="3"/>
      <c r="J657" s="3"/>
    </row>
    <row r="658">
      <c r="I658" s="3"/>
      <c r="J658" s="3"/>
    </row>
    <row r="659">
      <c r="I659" s="3"/>
      <c r="J659" s="3"/>
    </row>
    <row r="660">
      <c r="I660" s="3"/>
      <c r="J660" s="3"/>
    </row>
    <row r="661">
      <c r="I661" s="3"/>
      <c r="J661" s="3"/>
    </row>
    <row r="662">
      <c r="I662" s="3"/>
      <c r="J662" s="3"/>
    </row>
    <row r="663">
      <c r="I663" s="3"/>
      <c r="J663" s="3"/>
    </row>
    <row r="664">
      <c r="I664" s="3"/>
      <c r="J664" s="3"/>
    </row>
    <row r="665">
      <c r="I665" s="3"/>
      <c r="J665" s="3"/>
    </row>
    <row r="666">
      <c r="I666" s="3"/>
      <c r="J666" s="3"/>
    </row>
    <row r="667">
      <c r="I667" s="3"/>
      <c r="J667" s="3"/>
    </row>
    <row r="668">
      <c r="I668" s="3"/>
      <c r="J668" s="3"/>
    </row>
    <row r="669">
      <c r="I669" s="3"/>
      <c r="J669" s="3"/>
    </row>
    <row r="670">
      <c r="I670" s="3"/>
      <c r="J670" s="3"/>
    </row>
    <row r="671">
      <c r="I671" s="3"/>
      <c r="J671" s="3"/>
    </row>
    <row r="672">
      <c r="I672" s="3"/>
      <c r="J672" s="3"/>
    </row>
    <row r="673">
      <c r="I673" s="3"/>
      <c r="J673" s="3"/>
    </row>
    <row r="674">
      <c r="I674" s="3"/>
      <c r="J674" s="3"/>
    </row>
    <row r="675">
      <c r="I675" s="3"/>
      <c r="J675" s="3"/>
    </row>
    <row r="676">
      <c r="I676" s="3"/>
      <c r="J676" s="3"/>
    </row>
    <row r="677">
      <c r="I677" s="3"/>
      <c r="J677" s="3"/>
    </row>
    <row r="678">
      <c r="I678" s="3"/>
      <c r="J678" s="3"/>
    </row>
    <row r="679">
      <c r="I679" s="3"/>
      <c r="J679" s="3"/>
    </row>
    <row r="680">
      <c r="I680" s="3"/>
      <c r="J680" s="3"/>
    </row>
    <row r="681">
      <c r="I681" s="3"/>
      <c r="J681" s="3"/>
    </row>
    <row r="682">
      <c r="I682" s="3"/>
      <c r="J682" s="3"/>
    </row>
    <row r="683">
      <c r="I683" s="3"/>
      <c r="J683" s="3"/>
    </row>
    <row r="684">
      <c r="I684" s="3"/>
      <c r="J684" s="3"/>
    </row>
    <row r="685">
      <c r="I685" s="3"/>
      <c r="J685" s="3"/>
    </row>
    <row r="686">
      <c r="I686" s="3"/>
      <c r="J686" s="3"/>
    </row>
    <row r="687">
      <c r="I687" s="3"/>
      <c r="J687" s="3"/>
    </row>
    <row r="688">
      <c r="I688" s="3"/>
      <c r="J688" s="3"/>
    </row>
    <row r="689">
      <c r="I689" s="3"/>
      <c r="J689" s="3"/>
    </row>
    <row r="690">
      <c r="I690" s="3"/>
      <c r="J690" s="3"/>
    </row>
    <row r="691">
      <c r="I691" s="3"/>
      <c r="J691" s="3"/>
    </row>
    <row r="692">
      <c r="I692" s="3"/>
      <c r="J692" s="3"/>
    </row>
    <row r="693">
      <c r="I693" s="3"/>
      <c r="J693" s="3"/>
    </row>
    <row r="694">
      <c r="I694" s="3"/>
      <c r="J694" s="3"/>
    </row>
    <row r="695">
      <c r="I695" s="3"/>
      <c r="J695" s="3"/>
    </row>
    <row r="696">
      <c r="I696" s="3"/>
      <c r="J696" s="3"/>
    </row>
    <row r="697">
      <c r="I697" s="3"/>
      <c r="J697" s="3"/>
    </row>
    <row r="698">
      <c r="I698" s="3"/>
      <c r="J698" s="3"/>
    </row>
    <row r="699">
      <c r="I699" s="3"/>
      <c r="J699" s="3"/>
    </row>
    <row r="700">
      <c r="I700" s="3"/>
      <c r="J700" s="3"/>
    </row>
    <row r="701">
      <c r="I701" s="3"/>
      <c r="J701" s="3"/>
    </row>
    <row r="702">
      <c r="I702" s="3"/>
      <c r="J702" s="3"/>
    </row>
    <row r="703">
      <c r="I703" s="3"/>
      <c r="J703" s="3"/>
    </row>
    <row r="704">
      <c r="I704" s="3"/>
      <c r="J704" s="3"/>
    </row>
    <row r="705">
      <c r="I705" s="3"/>
      <c r="J705" s="3"/>
    </row>
    <row r="706">
      <c r="I706" s="3"/>
      <c r="J706" s="3"/>
    </row>
    <row r="707">
      <c r="I707" s="3"/>
      <c r="J707" s="3"/>
    </row>
    <row r="708">
      <c r="I708" s="3"/>
      <c r="J708" s="3"/>
    </row>
    <row r="709">
      <c r="I709" s="3"/>
      <c r="J709" s="3"/>
    </row>
    <row r="710">
      <c r="I710" s="3"/>
      <c r="J710" s="3"/>
    </row>
    <row r="711">
      <c r="I711" s="3"/>
      <c r="J711" s="3"/>
    </row>
    <row r="712">
      <c r="I712" s="3"/>
      <c r="J712" s="3"/>
    </row>
    <row r="713">
      <c r="I713" s="3"/>
      <c r="J713" s="3"/>
    </row>
    <row r="714">
      <c r="I714" s="3"/>
      <c r="J714" s="3"/>
    </row>
    <row r="715">
      <c r="I715" s="3"/>
      <c r="J715" s="3"/>
    </row>
    <row r="716">
      <c r="I716" s="3"/>
      <c r="J716" s="3"/>
    </row>
    <row r="717">
      <c r="I717" s="3"/>
      <c r="J717" s="3"/>
    </row>
    <row r="718">
      <c r="I718" s="3"/>
      <c r="J718" s="3"/>
    </row>
    <row r="719">
      <c r="I719" s="3"/>
      <c r="J719" s="3"/>
    </row>
    <row r="720">
      <c r="I720" s="3"/>
      <c r="J720" s="3"/>
    </row>
    <row r="721">
      <c r="I721" s="3"/>
      <c r="J721" s="3"/>
    </row>
    <row r="722">
      <c r="I722" s="3"/>
      <c r="J722" s="3"/>
    </row>
    <row r="723">
      <c r="I723" s="3"/>
      <c r="J723" s="3"/>
    </row>
    <row r="724">
      <c r="I724" s="3"/>
      <c r="J724" s="3"/>
    </row>
    <row r="725">
      <c r="I725" s="3"/>
      <c r="J725" s="3"/>
    </row>
    <row r="726">
      <c r="I726" s="3"/>
      <c r="J726" s="3"/>
    </row>
    <row r="727">
      <c r="I727" s="3"/>
      <c r="J727" s="3"/>
    </row>
    <row r="728">
      <c r="I728" s="3"/>
      <c r="J728" s="3"/>
    </row>
    <row r="729">
      <c r="I729" s="3"/>
      <c r="J729" s="3"/>
    </row>
    <row r="730">
      <c r="I730" s="3"/>
      <c r="J730" s="3"/>
    </row>
    <row r="731">
      <c r="I731" s="3"/>
      <c r="J731" s="3"/>
    </row>
    <row r="732">
      <c r="I732" s="3"/>
      <c r="J732" s="3"/>
    </row>
    <row r="733">
      <c r="I733" s="3"/>
      <c r="J733" s="3"/>
    </row>
    <row r="734">
      <c r="I734" s="3"/>
      <c r="J734" s="3"/>
    </row>
    <row r="735">
      <c r="I735" s="3"/>
      <c r="J735" s="3"/>
    </row>
    <row r="736">
      <c r="I736" s="3"/>
      <c r="J736" s="3"/>
    </row>
    <row r="737">
      <c r="I737" s="3"/>
      <c r="J737" s="3"/>
    </row>
    <row r="738">
      <c r="I738" s="3"/>
      <c r="J738" s="3"/>
    </row>
    <row r="739">
      <c r="I739" s="3"/>
      <c r="J739" s="3"/>
    </row>
    <row r="740">
      <c r="I740" s="3"/>
      <c r="J740" s="3"/>
    </row>
    <row r="741">
      <c r="I741" s="3"/>
      <c r="J741" s="3"/>
    </row>
    <row r="742">
      <c r="I742" s="3"/>
      <c r="J742" s="3"/>
    </row>
    <row r="743">
      <c r="I743" s="3"/>
      <c r="J743" s="3"/>
    </row>
    <row r="744">
      <c r="I744" s="3"/>
      <c r="J744" s="3"/>
    </row>
    <row r="745">
      <c r="I745" s="3"/>
      <c r="J745" s="3"/>
    </row>
    <row r="746">
      <c r="I746" s="3"/>
      <c r="J746" s="3"/>
    </row>
    <row r="747">
      <c r="I747" s="3"/>
      <c r="J747" s="3"/>
    </row>
    <row r="748">
      <c r="I748" s="3"/>
      <c r="J748" s="3"/>
    </row>
    <row r="749">
      <c r="I749" s="3"/>
      <c r="J749" s="3"/>
    </row>
    <row r="750">
      <c r="I750" s="3"/>
      <c r="J750" s="3"/>
    </row>
    <row r="751">
      <c r="I751" s="3"/>
      <c r="J751" s="3"/>
    </row>
    <row r="752">
      <c r="I752" s="3"/>
      <c r="J752" s="3"/>
    </row>
    <row r="753">
      <c r="I753" s="3"/>
      <c r="J753" s="3"/>
    </row>
    <row r="754">
      <c r="I754" s="3"/>
      <c r="J754" s="3"/>
    </row>
    <row r="755">
      <c r="I755" s="3"/>
      <c r="J755" s="3"/>
    </row>
    <row r="756">
      <c r="I756" s="3"/>
      <c r="J756" s="3"/>
    </row>
    <row r="757">
      <c r="I757" s="3"/>
      <c r="J757" s="3"/>
    </row>
    <row r="758">
      <c r="I758" s="3"/>
      <c r="J758" s="3"/>
    </row>
    <row r="759">
      <c r="I759" s="3"/>
      <c r="J759" s="3"/>
    </row>
    <row r="760">
      <c r="I760" s="3"/>
      <c r="J760" s="3"/>
    </row>
    <row r="761">
      <c r="I761" s="3"/>
      <c r="J761" s="3"/>
    </row>
    <row r="762">
      <c r="I762" s="3"/>
      <c r="J762" s="3"/>
    </row>
    <row r="763">
      <c r="I763" s="3"/>
      <c r="J763" s="3"/>
    </row>
    <row r="764">
      <c r="I764" s="3"/>
      <c r="J764" s="3"/>
    </row>
    <row r="765">
      <c r="I765" s="3"/>
      <c r="J765" s="3"/>
    </row>
    <row r="766">
      <c r="I766" s="3"/>
      <c r="J766" s="3"/>
    </row>
    <row r="767">
      <c r="I767" s="3"/>
      <c r="J767" s="3"/>
    </row>
    <row r="768">
      <c r="I768" s="3"/>
      <c r="J768" s="3"/>
    </row>
    <row r="769">
      <c r="I769" s="3"/>
      <c r="J769" s="3"/>
    </row>
    <row r="770">
      <c r="I770" s="3"/>
      <c r="J770" s="3"/>
    </row>
    <row r="771">
      <c r="I771" s="3"/>
      <c r="J771" s="3"/>
    </row>
    <row r="772">
      <c r="I772" s="3"/>
      <c r="J772" s="3"/>
    </row>
    <row r="773">
      <c r="I773" s="3"/>
      <c r="J773" s="3"/>
    </row>
    <row r="774">
      <c r="I774" s="3"/>
      <c r="J774" s="3"/>
    </row>
    <row r="775">
      <c r="I775" s="3"/>
      <c r="J775" s="3"/>
    </row>
    <row r="776">
      <c r="I776" s="3"/>
      <c r="J776" s="3"/>
    </row>
    <row r="777">
      <c r="I777" s="3"/>
      <c r="J777" s="3"/>
    </row>
    <row r="778">
      <c r="I778" s="3"/>
      <c r="J778" s="3"/>
    </row>
    <row r="779">
      <c r="I779" s="3"/>
      <c r="J779" s="3"/>
    </row>
    <row r="780">
      <c r="I780" s="3"/>
      <c r="J780" s="3"/>
    </row>
    <row r="781">
      <c r="I781" s="3"/>
      <c r="J781" s="3"/>
    </row>
    <row r="782">
      <c r="I782" s="3"/>
      <c r="J782" s="3"/>
    </row>
    <row r="783">
      <c r="I783" s="3"/>
      <c r="J783" s="3"/>
    </row>
    <row r="784">
      <c r="I784" s="3"/>
      <c r="J784" s="3"/>
    </row>
    <row r="785">
      <c r="I785" s="3"/>
      <c r="J785" s="3"/>
    </row>
    <row r="786">
      <c r="I786" s="3"/>
      <c r="J786" s="3"/>
    </row>
    <row r="787">
      <c r="I787" s="3"/>
      <c r="J787" s="3"/>
    </row>
    <row r="788">
      <c r="I788" s="3"/>
      <c r="J788" s="3"/>
    </row>
    <row r="789">
      <c r="I789" s="3"/>
      <c r="J789" s="3"/>
    </row>
    <row r="790">
      <c r="I790" s="3"/>
      <c r="J790" s="3"/>
    </row>
    <row r="791">
      <c r="I791" s="3"/>
      <c r="J791" s="3"/>
    </row>
    <row r="792">
      <c r="I792" s="3"/>
      <c r="J792" s="3"/>
    </row>
    <row r="793">
      <c r="I793" s="3"/>
      <c r="J793" s="3"/>
    </row>
    <row r="794">
      <c r="I794" s="3"/>
      <c r="J794" s="3"/>
    </row>
    <row r="795">
      <c r="I795" s="3"/>
      <c r="J795" s="3"/>
    </row>
    <row r="796">
      <c r="I796" s="3"/>
      <c r="J796" s="3"/>
    </row>
    <row r="797">
      <c r="I797" s="3"/>
      <c r="J797" s="3"/>
    </row>
    <row r="798">
      <c r="I798" s="3"/>
      <c r="J798" s="3"/>
    </row>
    <row r="799">
      <c r="I799" s="3"/>
      <c r="J799" s="3"/>
    </row>
    <row r="800">
      <c r="I800" s="3"/>
      <c r="J800" s="3"/>
    </row>
    <row r="801">
      <c r="I801" s="3"/>
      <c r="J801" s="3"/>
    </row>
    <row r="802">
      <c r="I802" s="3"/>
      <c r="J802" s="3"/>
    </row>
    <row r="803">
      <c r="I803" s="3"/>
      <c r="J803" s="3"/>
    </row>
    <row r="804">
      <c r="I804" s="3"/>
      <c r="J804" s="3"/>
    </row>
    <row r="805">
      <c r="I805" s="3"/>
      <c r="J805" s="3"/>
    </row>
    <row r="806">
      <c r="I806" s="3"/>
      <c r="J806" s="3"/>
    </row>
    <row r="807">
      <c r="I807" s="3"/>
      <c r="J807" s="3"/>
    </row>
    <row r="808">
      <c r="I808" s="3"/>
      <c r="J808" s="3"/>
    </row>
    <row r="809">
      <c r="I809" s="3"/>
      <c r="J809" s="3"/>
    </row>
    <row r="810">
      <c r="I810" s="3"/>
      <c r="J810" s="3"/>
    </row>
    <row r="811">
      <c r="I811" s="3"/>
      <c r="J811" s="3"/>
    </row>
    <row r="812">
      <c r="I812" s="3"/>
      <c r="J812" s="3"/>
    </row>
    <row r="813">
      <c r="I813" s="3"/>
      <c r="J813" s="3"/>
    </row>
    <row r="814">
      <c r="I814" s="3"/>
      <c r="J814" s="3"/>
    </row>
    <row r="815">
      <c r="I815" s="3"/>
      <c r="J815" s="3"/>
    </row>
    <row r="816">
      <c r="I816" s="3"/>
      <c r="J816" s="3"/>
    </row>
    <row r="817">
      <c r="I817" s="3"/>
      <c r="J817" s="3"/>
    </row>
    <row r="818">
      <c r="I818" s="3"/>
      <c r="J818" s="3"/>
    </row>
    <row r="819">
      <c r="I819" s="3"/>
      <c r="J819" s="3"/>
    </row>
    <row r="820">
      <c r="I820" s="3"/>
      <c r="J820" s="3"/>
    </row>
    <row r="821">
      <c r="I821" s="3"/>
      <c r="J821" s="3"/>
    </row>
    <row r="822">
      <c r="I822" s="3"/>
      <c r="J822" s="3"/>
    </row>
    <row r="823">
      <c r="I823" s="3"/>
      <c r="J823" s="3"/>
    </row>
    <row r="824">
      <c r="I824" s="3"/>
      <c r="J824" s="3"/>
    </row>
    <row r="825">
      <c r="I825" s="3"/>
      <c r="J825" s="3"/>
    </row>
    <row r="826">
      <c r="I826" s="3"/>
      <c r="J826" s="3"/>
    </row>
    <row r="827">
      <c r="I827" s="3"/>
      <c r="J827" s="3"/>
    </row>
    <row r="828">
      <c r="I828" s="3"/>
      <c r="J828" s="3"/>
    </row>
    <row r="829">
      <c r="I829" s="3"/>
      <c r="J829" s="3"/>
    </row>
    <row r="830">
      <c r="I830" s="3"/>
      <c r="J830" s="3"/>
    </row>
    <row r="831">
      <c r="I831" s="3"/>
      <c r="J831" s="3"/>
    </row>
    <row r="832">
      <c r="I832" s="3"/>
      <c r="J832" s="3"/>
    </row>
    <row r="833">
      <c r="I833" s="3"/>
      <c r="J833" s="3"/>
    </row>
    <row r="834">
      <c r="I834" s="3"/>
      <c r="J834" s="3"/>
    </row>
    <row r="835">
      <c r="I835" s="3"/>
      <c r="J835" s="3"/>
    </row>
    <row r="836">
      <c r="I836" s="3"/>
      <c r="J836" s="3"/>
    </row>
    <row r="837">
      <c r="I837" s="3"/>
      <c r="J837" s="3"/>
    </row>
    <row r="838">
      <c r="I838" s="3"/>
      <c r="J838" s="3"/>
    </row>
    <row r="839">
      <c r="I839" s="3"/>
      <c r="J839" s="3"/>
    </row>
    <row r="840">
      <c r="I840" s="3"/>
      <c r="J840" s="3"/>
    </row>
    <row r="841">
      <c r="I841" s="3"/>
      <c r="J841" s="3"/>
    </row>
    <row r="842">
      <c r="I842" s="3"/>
      <c r="J842" s="3"/>
    </row>
    <row r="843">
      <c r="I843" s="3"/>
      <c r="J843" s="3"/>
    </row>
    <row r="844">
      <c r="I844" s="3"/>
      <c r="J844" s="3"/>
    </row>
    <row r="845">
      <c r="I845" s="3"/>
      <c r="J845" s="3"/>
    </row>
    <row r="846">
      <c r="I846" s="3"/>
      <c r="J846" s="3"/>
    </row>
    <row r="847">
      <c r="I847" s="3"/>
      <c r="J847" s="3"/>
    </row>
    <row r="848">
      <c r="I848" s="3"/>
      <c r="J848" s="3"/>
    </row>
    <row r="849">
      <c r="I849" s="3"/>
      <c r="J849" s="3"/>
    </row>
    <row r="850">
      <c r="I850" s="3"/>
      <c r="J850" s="3"/>
    </row>
    <row r="851">
      <c r="I851" s="3"/>
      <c r="J851" s="3"/>
    </row>
    <row r="852">
      <c r="I852" s="3"/>
      <c r="J852" s="3"/>
    </row>
    <row r="853">
      <c r="I853" s="3"/>
      <c r="J853" s="3"/>
    </row>
    <row r="854">
      <c r="I854" s="3"/>
      <c r="J854" s="3"/>
    </row>
    <row r="855">
      <c r="I855" s="3"/>
      <c r="J855" s="3"/>
    </row>
    <row r="856">
      <c r="I856" s="3"/>
      <c r="J856" s="3"/>
    </row>
    <row r="857">
      <c r="I857" s="3"/>
      <c r="J857" s="3"/>
    </row>
    <row r="858">
      <c r="I858" s="3"/>
      <c r="J858" s="3"/>
    </row>
    <row r="859">
      <c r="I859" s="3"/>
      <c r="J859" s="3"/>
    </row>
    <row r="860">
      <c r="I860" s="3"/>
      <c r="J860" s="3"/>
    </row>
    <row r="861">
      <c r="I861" s="3"/>
      <c r="J861" s="3"/>
    </row>
    <row r="862">
      <c r="I862" s="3"/>
      <c r="J862" s="3"/>
    </row>
    <row r="863">
      <c r="I863" s="3"/>
      <c r="J863" s="3"/>
    </row>
    <row r="864">
      <c r="I864" s="3"/>
      <c r="J864" s="3"/>
    </row>
    <row r="865">
      <c r="I865" s="3"/>
      <c r="J865" s="3"/>
    </row>
    <row r="866">
      <c r="I866" s="3"/>
      <c r="J866" s="3"/>
    </row>
    <row r="867">
      <c r="I867" s="3"/>
      <c r="J867" s="3"/>
    </row>
    <row r="868">
      <c r="I868" s="3"/>
      <c r="J868" s="3"/>
    </row>
    <row r="869">
      <c r="I869" s="3"/>
      <c r="J869" s="3"/>
    </row>
    <row r="870">
      <c r="I870" s="3"/>
      <c r="J870" s="3"/>
    </row>
    <row r="871">
      <c r="I871" s="3"/>
      <c r="J871" s="3"/>
    </row>
    <row r="872">
      <c r="I872" s="3"/>
      <c r="J872" s="3"/>
    </row>
    <row r="873">
      <c r="I873" s="3"/>
      <c r="J873" s="3"/>
    </row>
    <row r="874">
      <c r="I874" s="3"/>
      <c r="J874" s="3"/>
    </row>
    <row r="875">
      <c r="I875" s="3"/>
      <c r="J875" s="3"/>
    </row>
    <row r="876">
      <c r="I876" s="3"/>
      <c r="J876" s="3"/>
    </row>
    <row r="877">
      <c r="I877" s="3"/>
      <c r="J877" s="3"/>
    </row>
    <row r="878">
      <c r="I878" s="3"/>
      <c r="J878" s="3"/>
    </row>
    <row r="879">
      <c r="I879" s="3"/>
      <c r="J879" s="3"/>
    </row>
    <row r="880">
      <c r="I880" s="3"/>
      <c r="J880" s="3"/>
    </row>
    <row r="881">
      <c r="I881" s="3"/>
      <c r="J881" s="3"/>
    </row>
    <row r="882">
      <c r="I882" s="3"/>
      <c r="J882" s="3"/>
    </row>
    <row r="883">
      <c r="I883" s="3"/>
      <c r="J883" s="3"/>
    </row>
    <row r="884">
      <c r="I884" s="3"/>
      <c r="J884" s="3"/>
    </row>
    <row r="885">
      <c r="I885" s="3"/>
      <c r="J885" s="3"/>
    </row>
    <row r="886">
      <c r="I886" s="3"/>
      <c r="J886" s="3"/>
    </row>
    <row r="887">
      <c r="I887" s="3"/>
      <c r="J887" s="3"/>
    </row>
    <row r="888">
      <c r="I888" s="3"/>
      <c r="J888" s="3"/>
    </row>
    <row r="889">
      <c r="I889" s="3"/>
      <c r="J889" s="3"/>
    </row>
    <row r="890">
      <c r="I890" s="3"/>
      <c r="J890" s="3"/>
    </row>
    <row r="891">
      <c r="I891" s="3"/>
      <c r="J891" s="3"/>
    </row>
    <row r="892">
      <c r="I892" s="3"/>
      <c r="J892" s="3"/>
    </row>
    <row r="893">
      <c r="I893" s="3"/>
      <c r="J893" s="3"/>
    </row>
    <row r="894">
      <c r="I894" s="3"/>
      <c r="J894" s="3"/>
    </row>
    <row r="895">
      <c r="I895" s="3"/>
      <c r="J895" s="3"/>
    </row>
    <row r="896">
      <c r="I896" s="3"/>
      <c r="J896" s="3"/>
    </row>
    <row r="897">
      <c r="I897" s="3"/>
      <c r="J897" s="3"/>
    </row>
    <row r="898">
      <c r="I898" s="3"/>
      <c r="J898" s="3"/>
    </row>
    <row r="899">
      <c r="I899" s="3"/>
      <c r="J899" s="3"/>
    </row>
    <row r="900">
      <c r="I900" s="3"/>
      <c r="J900" s="3"/>
    </row>
    <row r="901">
      <c r="I901" s="3"/>
      <c r="J901" s="3"/>
    </row>
    <row r="902">
      <c r="I902" s="3"/>
      <c r="J902" s="3"/>
    </row>
    <row r="903">
      <c r="I903" s="3"/>
      <c r="J903" s="3"/>
    </row>
    <row r="904">
      <c r="I904" s="3"/>
      <c r="J904" s="3"/>
    </row>
    <row r="905">
      <c r="I905" s="3"/>
      <c r="J905" s="3"/>
    </row>
    <row r="906">
      <c r="I906" s="3"/>
      <c r="J906" s="3"/>
    </row>
    <row r="907">
      <c r="I907" s="3"/>
      <c r="J907" s="3"/>
    </row>
    <row r="908">
      <c r="I908" s="3"/>
      <c r="J908" s="3"/>
    </row>
    <row r="909">
      <c r="I909" s="3"/>
      <c r="J909" s="3"/>
    </row>
    <row r="910">
      <c r="I910" s="3"/>
      <c r="J910" s="3"/>
    </row>
    <row r="911">
      <c r="I911" s="3"/>
      <c r="J911" s="3"/>
    </row>
    <row r="912">
      <c r="I912" s="3"/>
      <c r="J912" s="3"/>
    </row>
    <row r="913">
      <c r="I913" s="3"/>
      <c r="J913" s="3"/>
    </row>
    <row r="914">
      <c r="I914" s="3"/>
      <c r="J914" s="3"/>
    </row>
    <row r="915">
      <c r="I915" s="3"/>
      <c r="J915" s="3"/>
    </row>
    <row r="916">
      <c r="I916" s="3"/>
      <c r="J916" s="3"/>
    </row>
    <row r="917">
      <c r="I917" s="3"/>
      <c r="J917" s="3"/>
    </row>
    <row r="918">
      <c r="I918" s="3"/>
      <c r="J918" s="3"/>
    </row>
    <row r="919">
      <c r="I919" s="3"/>
      <c r="J919" s="3"/>
    </row>
    <row r="920">
      <c r="I920" s="3"/>
      <c r="J920" s="3"/>
    </row>
    <row r="921">
      <c r="I921" s="3"/>
      <c r="J921" s="3"/>
    </row>
    <row r="922">
      <c r="I922" s="3"/>
      <c r="J922" s="3"/>
    </row>
    <row r="923">
      <c r="I923" s="3"/>
      <c r="J923" s="3"/>
    </row>
    <row r="924">
      <c r="I924" s="3"/>
      <c r="J924" s="3"/>
    </row>
    <row r="925">
      <c r="I925" s="3"/>
      <c r="J925" s="3"/>
    </row>
    <row r="926">
      <c r="I926" s="3"/>
      <c r="J926" s="3"/>
    </row>
    <row r="927">
      <c r="I927" s="3"/>
      <c r="J927" s="3"/>
    </row>
    <row r="928">
      <c r="I928" s="3"/>
      <c r="J928" s="3"/>
    </row>
    <row r="929">
      <c r="I929" s="3"/>
      <c r="J929" s="3"/>
    </row>
    <row r="930">
      <c r="I930" s="3"/>
      <c r="J930" s="3"/>
    </row>
    <row r="931">
      <c r="I931" s="3"/>
      <c r="J931" s="3"/>
    </row>
    <row r="932">
      <c r="I932" s="3"/>
      <c r="J932" s="3"/>
    </row>
    <row r="933">
      <c r="I933" s="3"/>
      <c r="J933" s="3"/>
    </row>
    <row r="934">
      <c r="I934" s="3"/>
      <c r="J934" s="3"/>
    </row>
    <row r="935">
      <c r="I935" s="3"/>
      <c r="J935" s="3"/>
    </row>
    <row r="936">
      <c r="I936" s="3"/>
      <c r="J936" s="3"/>
    </row>
    <row r="937">
      <c r="I937" s="3"/>
      <c r="J937" s="3"/>
    </row>
    <row r="938">
      <c r="I938" s="3"/>
      <c r="J938" s="3"/>
    </row>
    <row r="939">
      <c r="I939" s="3"/>
      <c r="J939" s="3"/>
    </row>
    <row r="940">
      <c r="I940" s="3"/>
      <c r="J940" s="3"/>
    </row>
    <row r="941">
      <c r="I941" s="3"/>
      <c r="J941" s="3"/>
    </row>
    <row r="942">
      <c r="I942" s="3"/>
      <c r="J942" s="3"/>
    </row>
    <row r="943">
      <c r="I943" s="3"/>
      <c r="J943" s="3"/>
    </row>
    <row r="944">
      <c r="I944" s="3"/>
      <c r="J944" s="3"/>
    </row>
    <row r="945">
      <c r="I945" s="3"/>
      <c r="J945" s="3"/>
    </row>
    <row r="946">
      <c r="I946" s="3"/>
      <c r="J946" s="3"/>
    </row>
    <row r="947">
      <c r="I947" s="3"/>
      <c r="J947" s="3"/>
    </row>
    <row r="948">
      <c r="I948" s="3"/>
      <c r="J948" s="3"/>
    </row>
    <row r="949">
      <c r="I949" s="3"/>
      <c r="J949" s="3"/>
    </row>
    <row r="950">
      <c r="I950" s="3"/>
      <c r="J950" s="3"/>
    </row>
    <row r="951">
      <c r="I951" s="3"/>
      <c r="J951" s="3"/>
    </row>
    <row r="952">
      <c r="I952" s="3"/>
      <c r="J952" s="3"/>
    </row>
    <row r="953">
      <c r="I953" s="3"/>
      <c r="J953" s="3"/>
    </row>
    <row r="954">
      <c r="I954" s="3"/>
      <c r="J954" s="3"/>
    </row>
    <row r="955">
      <c r="I955" s="3"/>
      <c r="J955" s="3"/>
    </row>
    <row r="956">
      <c r="I956" s="3"/>
      <c r="J956" s="3"/>
    </row>
    <row r="957">
      <c r="I957" s="3"/>
      <c r="J957" s="3"/>
    </row>
    <row r="958">
      <c r="I958" s="3"/>
      <c r="J958" s="3"/>
    </row>
    <row r="959">
      <c r="I959" s="3"/>
      <c r="J959" s="3"/>
    </row>
    <row r="960">
      <c r="I960" s="3"/>
      <c r="J960" s="3"/>
    </row>
    <row r="961">
      <c r="I961" s="3"/>
      <c r="J961" s="3"/>
    </row>
    <row r="962">
      <c r="I962" s="3"/>
      <c r="J962" s="3"/>
    </row>
    <row r="963">
      <c r="I963" s="3"/>
      <c r="J963" s="3"/>
    </row>
    <row r="964">
      <c r="I964" s="3"/>
      <c r="J964" s="3"/>
    </row>
    <row r="965">
      <c r="I965" s="3"/>
      <c r="J965" s="3"/>
    </row>
    <row r="966">
      <c r="I966" s="3"/>
      <c r="J966" s="3"/>
    </row>
    <row r="967">
      <c r="I967" s="3"/>
      <c r="J967" s="3"/>
    </row>
    <row r="968">
      <c r="I968" s="3"/>
      <c r="J968" s="3"/>
    </row>
    <row r="969">
      <c r="I969" s="3"/>
      <c r="J969" s="3"/>
    </row>
    <row r="970">
      <c r="I970" s="3"/>
      <c r="J970" s="3"/>
    </row>
    <row r="971">
      <c r="I971" s="3"/>
      <c r="J971" s="3"/>
    </row>
    <row r="972">
      <c r="I972" s="3"/>
      <c r="J972" s="3"/>
    </row>
    <row r="973">
      <c r="I973" s="3"/>
      <c r="J973" s="3"/>
    </row>
    <row r="974">
      <c r="I974" s="3"/>
      <c r="J974" s="3"/>
    </row>
    <row r="975">
      <c r="I975" s="3"/>
      <c r="J975" s="3"/>
    </row>
    <row r="976">
      <c r="I976" s="3"/>
      <c r="J976" s="3"/>
    </row>
    <row r="977">
      <c r="I977" s="3"/>
      <c r="J977" s="3"/>
    </row>
    <row r="978">
      <c r="I978" s="3"/>
      <c r="J978" s="3"/>
    </row>
    <row r="979">
      <c r="I979" s="3"/>
      <c r="J979" s="3"/>
    </row>
    <row r="980">
      <c r="I980" s="3"/>
      <c r="J980" s="3"/>
    </row>
    <row r="981">
      <c r="I981" s="3"/>
      <c r="J981" s="3"/>
    </row>
    <row r="982">
      <c r="I982" s="3"/>
      <c r="J982" s="3"/>
    </row>
    <row r="983">
      <c r="I983" s="3"/>
      <c r="J983" s="3"/>
    </row>
    <row r="984">
      <c r="I984" s="3"/>
      <c r="J984" s="3"/>
    </row>
    <row r="985">
      <c r="I985" s="3"/>
      <c r="J985" s="3"/>
    </row>
    <row r="986">
      <c r="I986" s="3"/>
      <c r="J986" s="3"/>
    </row>
    <row r="987">
      <c r="I987" s="3"/>
      <c r="J987" s="3"/>
    </row>
    <row r="988">
      <c r="I988" s="3"/>
      <c r="J988" s="3"/>
    </row>
    <row r="989">
      <c r="I989" s="3"/>
      <c r="J989" s="3"/>
    </row>
    <row r="990">
      <c r="I990" s="3"/>
      <c r="J990" s="3"/>
    </row>
    <row r="991">
      <c r="I991" s="3"/>
      <c r="J991" s="3"/>
    </row>
    <row r="992">
      <c r="I992" s="3"/>
      <c r="J992" s="3"/>
    </row>
    <row r="993">
      <c r="I993" s="3"/>
      <c r="J993" s="3"/>
    </row>
    <row r="994">
      <c r="I994" s="3"/>
      <c r="J994" s="3"/>
    </row>
    <row r="995">
      <c r="I995" s="3"/>
      <c r="J995" s="3"/>
    </row>
    <row r="996">
      <c r="I996" s="3"/>
      <c r="J996" s="3"/>
    </row>
    <row r="997">
      <c r="I997" s="3"/>
      <c r="J997" s="3"/>
    </row>
    <row r="998">
      <c r="I998" s="3"/>
      <c r="J998" s="3"/>
    </row>
    <row r="999">
      <c r="I999" s="3"/>
      <c r="J999" s="3"/>
    </row>
    <row r="1000">
      <c r="I1000" s="3"/>
      <c r="J1000" s="3"/>
    </row>
    <row r="1001">
      <c r="I1001" s="3"/>
      <c r="J1001" s="3"/>
    </row>
    <row r="1002">
      <c r="I1002" s="3"/>
      <c r="J1002" s="3"/>
    </row>
  </sheetData>
  <conditionalFormatting sqref="F10:F24">
    <cfRule type="colorScale" priority="1">
      <colorScale>
        <cfvo type="min"/>
        <cfvo type="max"/>
        <color rgb="FFFF0000"/>
        <color rgb="FF00FF00"/>
      </colorScale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8.75"/>
    <col customWidth="1" min="3" max="5" width="15.13"/>
    <col customWidth="1" min="6" max="6" width="3.13"/>
    <col customWidth="1" min="7" max="9" width="15.13"/>
    <col customWidth="1" min="10" max="10" width="14.25"/>
    <col customWidth="1" min="11" max="11" width="16.88"/>
    <col customWidth="1" min="12" max="12" width="16.13"/>
    <col customWidth="1" min="13" max="13" width="15.38"/>
  </cols>
  <sheetData>
    <row r="1">
      <c r="A1" s="9" t="s">
        <v>82</v>
      </c>
      <c r="B1" s="10" t="s">
        <v>83</v>
      </c>
      <c r="C1" s="10"/>
      <c r="D1" s="10"/>
      <c r="E1" s="10"/>
      <c r="F1" s="10"/>
      <c r="G1" s="10"/>
      <c r="H1" s="10"/>
      <c r="I1" s="10"/>
    </row>
    <row r="2">
      <c r="A2" s="9" t="s">
        <v>84</v>
      </c>
      <c r="B2" s="10" t="s">
        <v>150</v>
      </c>
      <c r="C2" s="12"/>
      <c r="D2" s="12"/>
      <c r="E2" s="12"/>
      <c r="F2" s="12"/>
      <c r="G2" s="12"/>
      <c r="H2" s="12"/>
      <c r="I2" s="12"/>
    </row>
    <row r="3">
      <c r="A3" s="9" t="s">
        <v>100</v>
      </c>
      <c r="B3" s="10" t="s">
        <v>151</v>
      </c>
      <c r="C3" s="10"/>
      <c r="D3" s="10"/>
      <c r="E3" s="10"/>
      <c r="F3" s="10"/>
      <c r="G3" s="10"/>
      <c r="H3" s="10"/>
      <c r="I3" s="10"/>
    </row>
    <row r="4">
      <c r="A4" s="9" t="s">
        <v>104</v>
      </c>
      <c r="B4" s="5">
        <v>12.0</v>
      </c>
    </row>
    <row r="5">
      <c r="A5" s="9" t="s">
        <v>108</v>
      </c>
      <c r="B5" s="69">
        <v>1750.0</v>
      </c>
    </row>
    <row r="7">
      <c r="A7" s="25"/>
      <c r="B7" s="9" t="s">
        <v>114</v>
      </c>
      <c r="C7" s="9" t="s">
        <v>263</v>
      </c>
      <c r="D7" s="9" t="s">
        <v>403</v>
      </c>
      <c r="G7" s="9"/>
      <c r="I7" s="9"/>
    </row>
    <row r="8">
      <c r="A8" s="25"/>
      <c r="B8" s="5"/>
      <c r="G8" s="9" t="s">
        <v>373</v>
      </c>
      <c r="H8" s="9"/>
      <c r="I8" s="70"/>
      <c r="J8" s="3"/>
      <c r="K8" s="9"/>
      <c r="L8" s="9" t="s">
        <v>376</v>
      </c>
      <c r="M8" s="9" t="s">
        <v>377</v>
      </c>
      <c r="N8" s="5" t="s">
        <v>404</v>
      </c>
      <c r="O8" s="5" t="s">
        <v>404</v>
      </c>
      <c r="P8" s="5" t="s">
        <v>404</v>
      </c>
      <c r="Q8" s="5" t="s">
        <v>404</v>
      </c>
    </row>
    <row r="9">
      <c r="A9" s="9">
        <v>1.0</v>
      </c>
      <c r="B9" s="5" t="s">
        <v>5</v>
      </c>
      <c r="C9" s="4" t="s">
        <v>10</v>
      </c>
      <c r="D9" s="33">
        <f t="shared" ref="D9:D23" si="1">1750/15</f>
        <v>116.6666667</v>
      </c>
      <c r="E9" s="64" t="s">
        <v>325</v>
      </c>
      <c r="G9" s="71">
        <v>45043.0</v>
      </c>
      <c r="H9" s="65" t="s">
        <v>405</v>
      </c>
      <c r="I9" s="2">
        <v>10.0</v>
      </c>
      <c r="J9" s="2">
        <v>8.0</v>
      </c>
      <c r="K9" s="5" t="s">
        <v>406</v>
      </c>
      <c r="L9" s="5" t="s">
        <v>407</v>
      </c>
      <c r="M9" s="5" t="s">
        <v>408</v>
      </c>
    </row>
    <row r="10">
      <c r="A10" s="9">
        <v>2.0</v>
      </c>
      <c r="B10" s="5" t="s">
        <v>17</v>
      </c>
      <c r="C10" s="4" t="s">
        <v>10</v>
      </c>
      <c r="D10" s="33">
        <f t="shared" si="1"/>
        <v>116.6666667</v>
      </c>
      <c r="E10" s="64" t="s">
        <v>325</v>
      </c>
      <c r="G10" s="71">
        <v>45050.0</v>
      </c>
      <c r="H10" s="5" t="s">
        <v>405</v>
      </c>
      <c r="I10" s="2"/>
      <c r="J10" s="2"/>
      <c r="K10" s="4" t="s">
        <v>409</v>
      </c>
      <c r="L10" s="5" t="s">
        <v>410</v>
      </c>
      <c r="M10" s="5" t="s">
        <v>411</v>
      </c>
      <c r="N10" s="5" t="s">
        <v>412</v>
      </c>
      <c r="O10" s="5" t="s">
        <v>168</v>
      </c>
    </row>
    <row r="11">
      <c r="A11" s="9">
        <v>3.0</v>
      </c>
      <c r="B11" s="5" t="s">
        <v>167</v>
      </c>
      <c r="C11" s="4" t="s">
        <v>10</v>
      </c>
      <c r="D11" s="33">
        <f t="shared" si="1"/>
        <v>116.6666667</v>
      </c>
      <c r="G11" s="71">
        <v>45057.0</v>
      </c>
      <c r="H11" s="5" t="s">
        <v>405</v>
      </c>
      <c r="I11" s="75"/>
      <c r="J11" s="3"/>
      <c r="K11" s="5" t="s">
        <v>413</v>
      </c>
      <c r="L11" s="5" t="s">
        <v>414</v>
      </c>
      <c r="M11" s="5" t="s">
        <v>388</v>
      </c>
      <c r="N11" s="5" t="s">
        <v>326</v>
      </c>
    </row>
    <row r="12">
      <c r="A12" s="9">
        <v>4.0</v>
      </c>
      <c r="B12" s="5" t="s">
        <v>31</v>
      </c>
      <c r="C12" s="4" t="s">
        <v>10</v>
      </c>
      <c r="D12" s="33">
        <f t="shared" si="1"/>
        <v>116.6666667</v>
      </c>
      <c r="E12" s="64" t="s">
        <v>325</v>
      </c>
      <c r="G12" s="71">
        <v>45064.0</v>
      </c>
      <c r="H12" s="5" t="s">
        <v>405</v>
      </c>
      <c r="I12" s="75"/>
      <c r="J12" s="3"/>
      <c r="K12" s="5" t="s">
        <v>415</v>
      </c>
      <c r="L12" s="5" t="s">
        <v>410</v>
      </c>
      <c r="M12" s="5" t="s">
        <v>416</v>
      </c>
    </row>
    <row r="13">
      <c r="A13" s="9">
        <v>5.0</v>
      </c>
      <c r="B13" s="5" t="s">
        <v>20</v>
      </c>
      <c r="C13" s="4" t="s">
        <v>10</v>
      </c>
      <c r="D13" s="33">
        <f t="shared" si="1"/>
        <v>116.6666667</v>
      </c>
      <c r="E13" s="64" t="s">
        <v>325</v>
      </c>
      <c r="G13" s="71">
        <v>45071.0</v>
      </c>
      <c r="H13" s="5" t="s">
        <v>405</v>
      </c>
      <c r="I13" s="75"/>
      <c r="J13" s="3"/>
      <c r="K13" s="5" t="s">
        <v>417</v>
      </c>
      <c r="L13" s="5" t="s">
        <v>407</v>
      </c>
      <c r="M13" s="5" t="s">
        <v>411</v>
      </c>
      <c r="N13" s="5" t="s">
        <v>170</v>
      </c>
      <c r="O13" s="5" t="s">
        <v>168</v>
      </c>
      <c r="P13" s="5" t="s">
        <v>326</v>
      </c>
    </row>
    <row r="14">
      <c r="A14" s="9">
        <v>6.0</v>
      </c>
      <c r="B14" s="5" t="s">
        <v>168</v>
      </c>
      <c r="C14" s="4" t="s">
        <v>10</v>
      </c>
      <c r="D14" s="33">
        <f t="shared" si="1"/>
        <v>116.6666667</v>
      </c>
      <c r="E14" s="64" t="s">
        <v>325</v>
      </c>
      <c r="G14" s="71">
        <v>45078.0</v>
      </c>
      <c r="H14" s="5" t="s">
        <v>405</v>
      </c>
      <c r="I14" s="75"/>
      <c r="J14" s="3"/>
      <c r="K14" s="4" t="s">
        <v>418</v>
      </c>
      <c r="L14" s="5" t="s">
        <v>414</v>
      </c>
      <c r="M14" s="5" t="s">
        <v>419</v>
      </c>
      <c r="N14" s="5" t="s">
        <v>326</v>
      </c>
      <c r="O14" s="5" t="s">
        <v>31</v>
      </c>
    </row>
    <row r="15">
      <c r="A15" s="9">
        <v>7.0</v>
      </c>
      <c r="B15" s="5" t="s">
        <v>420</v>
      </c>
      <c r="C15" s="4" t="s">
        <v>10</v>
      </c>
      <c r="D15" s="33">
        <f t="shared" si="1"/>
        <v>116.6666667</v>
      </c>
      <c r="E15" s="64"/>
      <c r="G15" s="76">
        <v>45082.0</v>
      </c>
      <c r="H15" s="77" t="s">
        <v>405</v>
      </c>
      <c r="I15" s="78"/>
      <c r="J15" s="79"/>
      <c r="K15" s="80" t="s">
        <v>153</v>
      </c>
      <c r="L15" s="77" t="s">
        <v>410</v>
      </c>
      <c r="M15" s="77" t="s">
        <v>421</v>
      </c>
      <c r="N15" s="5" t="s">
        <v>326</v>
      </c>
    </row>
    <row r="16">
      <c r="A16" s="9">
        <v>8.0</v>
      </c>
      <c r="B16" s="5" t="s">
        <v>29</v>
      </c>
      <c r="C16" s="4" t="s">
        <v>10</v>
      </c>
      <c r="D16" s="33">
        <f t="shared" si="1"/>
        <v>116.6666667</v>
      </c>
      <c r="E16" s="64" t="s">
        <v>325</v>
      </c>
      <c r="G16" s="71">
        <v>45092.0</v>
      </c>
      <c r="H16" s="5" t="s">
        <v>405</v>
      </c>
      <c r="I16" s="75"/>
      <c r="J16" s="3"/>
      <c r="K16" s="4" t="s">
        <v>422</v>
      </c>
      <c r="L16" s="5" t="s">
        <v>407</v>
      </c>
      <c r="M16" s="5" t="s">
        <v>423</v>
      </c>
    </row>
    <row r="17">
      <c r="A17" s="9">
        <v>9.0</v>
      </c>
      <c r="B17" s="5" t="s">
        <v>326</v>
      </c>
      <c r="C17" s="4" t="s">
        <v>10</v>
      </c>
      <c r="D17" s="33">
        <f t="shared" si="1"/>
        <v>116.6666667</v>
      </c>
      <c r="E17" s="64" t="s">
        <v>325</v>
      </c>
      <c r="G17" s="71">
        <v>45099.0</v>
      </c>
      <c r="H17" s="5" t="s">
        <v>405</v>
      </c>
      <c r="I17" s="75"/>
      <c r="J17" s="3"/>
      <c r="K17" s="4" t="s">
        <v>424</v>
      </c>
      <c r="L17" s="5" t="s">
        <v>414</v>
      </c>
      <c r="M17" s="5" t="s">
        <v>425</v>
      </c>
    </row>
    <row r="18">
      <c r="A18" s="9">
        <v>10.0</v>
      </c>
      <c r="B18" s="5" t="s">
        <v>57</v>
      </c>
      <c r="C18" s="4" t="s">
        <v>10</v>
      </c>
      <c r="D18" s="33">
        <f t="shared" si="1"/>
        <v>116.6666667</v>
      </c>
      <c r="E18" s="64" t="s">
        <v>325</v>
      </c>
      <c r="G18" s="76">
        <v>45106.0</v>
      </c>
      <c r="H18" s="77" t="s">
        <v>405</v>
      </c>
      <c r="I18" s="78"/>
      <c r="J18" s="79"/>
      <c r="K18" s="80" t="s">
        <v>426</v>
      </c>
      <c r="L18" s="77" t="s">
        <v>427</v>
      </c>
      <c r="M18" s="77" t="s">
        <v>416</v>
      </c>
      <c r="N18" s="5" t="s">
        <v>170</v>
      </c>
    </row>
    <row r="19">
      <c r="A19" s="9">
        <v>11.0</v>
      </c>
      <c r="B19" s="5" t="s">
        <v>54</v>
      </c>
      <c r="C19" s="4" t="s">
        <v>10</v>
      </c>
      <c r="D19" s="33">
        <f t="shared" si="1"/>
        <v>116.6666667</v>
      </c>
      <c r="E19" s="64"/>
      <c r="G19" s="76">
        <v>45113.0</v>
      </c>
      <c r="H19" s="77" t="s">
        <v>405</v>
      </c>
      <c r="I19" s="78"/>
      <c r="J19" s="79"/>
      <c r="K19" s="77" t="s">
        <v>172</v>
      </c>
      <c r="L19" s="77" t="s">
        <v>427</v>
      </c>
      <c r="M19" s="77" t="s">
        <v>411</v>
      </c>
      <c r="N19" s="5" t="s">
        <v>170</v>
      </c>
      <c r="O19" s="5" t="s">
        <v>428</v>
      </c>
    </row>
    <row r="20">
      <c r="A20" s="9">
        <v>12.0</v>
      </c>
      <c r="B20" s="5" t="s">
        <v>51</v>
      </c>
      <c r="C20" s="4" t="s">
        <v>10</v>
      </c>
      <c r="D20" s="33">
        <f t="shared" si="1"/>
        <v>116.6666667</v>
      </c>
      <c r="E20" s="64" t="s">
        <v>325</v>
      </c>
      <c r="G20" s="71">
        <v>45120.0</v>
      </c>
      <c r="H20" s="5" t="s">
        <v>405</v>
      </c>
      <c r="I20" s="75"/>
      <c r="J20" s="3"/>
      <c r="K20" s="5" t="s">
        <v>429</v>
      </c>
      <c r="L20" s="5" t="s">
        <v>407</v>
      </c>
      <c r="M20" s="5" t="s">
        <v>416</v>
      </c>
      <c r="N20" s="5" t="s">
        <v>170</v>
      </c>
    </row>
    <row r="21">
      <c r="A21" s="9">
        <v>13.0</v>
      </c>
      <c r="B21" s="5" t="s">
        <v>47</v>
      </c>
      <c r="C21" s="4" t="s">
        <v>10</v>
      </c>
      <c r="D21" s="33">
        <f t="shared" si="1"/>
        <v>116.6666667</v>
      </c>
      <c r="E21" s="64" t="s">
        <v>325</v>
      </c>
      <c r="G21" s="33"/>
      <c r="I21" s="33"/>
      <c r="K21" s="4"/>
    </row>
    <row r="22">
      <c r="A22" s="9">
        <v>14.0</v>
      </c>
      <c r="B22" s="5" t="s">
        <v>283</v>
      </c>
      <c r="C22" s="4" t="s">
        <v>10</v>
      </c>
      <c r="D22" s="33">
        <f t="shared" si="1"/>
        <v>116.6666667</v>
      </c>
      <c r="E22" s="64" t="s">
        <v>325</v>
      </c>
      <c r="G22" s="33"/>
      <c r="I22" s="33"/>
      <c r="K22" s="4"/>
    </row>
    <row r="23">
      <c r="A23" s="9">
        <v>15.0</v>
      </c>
      <c r="B23" s="5" t="s">
        <v>430</v>
      </c>
      <c r="C23" s="4" t="s">
        <v>10</v>
      </c>
      <c r="D23" s="33">
        <f t="shared" si="1"/>
        <v>116.6666667</v>
      </c>
      <c r="E23" s="64"/>
    </row>
    <row r="27">
      <c r="D27" s="5"/>
      <c r="G27" s="35"/>
    </row>
    <row r="28">
      <c r="D28" s="5"/>
      <c r="G28" s="35"/>
    </row>
    <row r="32">
      <c r="B32" s="33"/>
    </row>
    <row r="33">
      <c r="B33" s="33"/>
    </row>
    <row r="34">
      <c r="B34" s="35"/>
    </row>
    <row r="35">
      <c r="B35" s="33"/>
    </row>
    <row r="36">
      <c r="B36" s="35"/>
    </row>
    <row r="37">
      <c r="B37" s="33"/>
    </row>
    <row r="41">
      <c r="B41" s="33"/>
    </row>
    <row r="42">
      <c r="B42" s="35"/>
    </row>
    <row r="43">
      <c r="B43" s="35"/>
    </row>
    <row r="44">
      <c r="B44" s="3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5"/>
    <col customWidth="1" min="10" max="10" width="21.88"/>
  </cols>
  <sheetData>
    <row r="1">
      <c r="A1" s="5"/>
      <c r="I1" s="2"/>
      <c r="J1" s="2"/>
    </row>
    <row r="2">
      <c r="A2" s="5"/>
      <c r="C2" s="5"/>
      <c r="H2" s="81"/>
      <c r="I2" s="82">
        <v>1.0</v>
      </c>
      <c r="J2" s="82">
        <v>2.0</v>
      </c>
    </row>
    <row r="3">
      <c r="A3" s="5"/>
      <c r="B3" s="5"/>
      <c r="C3" s="5"/>
      <c r="D3" s="5"/>
      <c r="E3" s="5"/>
      <c r="H3" s="81"/>
      <c r="I3" s="6" t="s">
        <v>431</v>
      </c>
      <c r="J3" s="6" t="s">
        <v>432</v>
      </c>
    </row>
    <row r="4">
      <c r="A4" s="5" t="s">
        <v>433</v>
      </c>
      <c r="B4" s="83" t="s">
        <v>434</v>
      </c>
      <c r="C4" s="83" t="s">
        <v>435</v>
      </c>
      <c r="D4" s="83" t="s">
        <v>436</v>
      </c>
      <c r="E4" s="83" t="s">
        <v>437</v>
      </c>
      <c r="F4" s="83" t="s">
        <v>90</v>
      </c>
      <c r="H4" s="84" t="s">
        <v>438</v>
      </c>
      <c r="I4" s="85" t="str">
        <f>IFERROR(__xludf.DUMMYFUNCTION("FILTER($A$5:$A$22,I$2=$F$5:$F$22,$H4=$B$5:$B$22)"),"20. Bruno (goleiro)")</f>
        <v>20. Bruno (goleiro)</v>
      </c>
      <c r="J4" s="85" t="str">
        <f>IFERROR(__xludf.DUMMYFUNCTION("FILTER($A$5:$A$22,J$2=$F$5:$F$22,$H4=$B$5:$B$22)"),"19. Darley (goleiro)")</f>
        <v>19. Darley (goleiro)</v>
      </c>
    </row>
    <row r="5">
      <c r="A5" s="5" t="s">
        <v>439</v>
      </c>
      <c r="B5" s="83" t="s">
        <v>440</v>
      </c>
      <c r="C5" s="86">
        <f t="shared" ref="C5:C22" si="1">RAND()</f>
        <v>0.6797409282</v>
      </c>
      <c r="D5" s="86">
        <f t="shared" ref="D5:D8" si="2">RANK(C5,$C$5:$C$8)</f>
        <v>3</v>
      </c>
      <c r="E5" s="86">
        <f t="shared" ref="E5:E22" si="3">D5/VLOOKUP(B5,$A$25:$C$28,3,0)</f>
        <v>1.5</v>
      </c>
      <c r="F5" s="86">
        <f t="shared" ref="F5:F22" si="4">CEILING(E5,1)</f>
        <v>2</v>
      </c>
      <c r="H5" s="84" t="s">
        <v>441</v>
      </c>
      <c r="I5" s="85" t="str">
        <f>IFERROR(__xludf.DUMMYFUNCTION("FILTER($A$5:$A$22,I$2=$F$5:$F$22,$H5=$B$5:$B$22)"),"2. Joao B (+1)")</f>
        <v>2. Joao B (+1)</v>
      </c>
      <c r="J5" s="85" t="str">
        <f>IFERROR(__xludf.DUMMYFUNCTION("FILTER($A$5:$A$22,J$2=$F$5:$F$22,$H5=$B$5:$B$22)"),"9. Pintola (churras +1)")</f>
        <v>9. Pintola (churras +1)</v>
      </c>
    </row>
    <row r="6">
      <c r="A6" s="5" t="s">
        <v>442</v>
      </c>
      <c r="B6" s="83" t="s">
        <v>440</v>
      </c>
      <c r="C6" s="86">
        <f t="shared" si="1"/>
        <v>0.8099072228</v>
      </c>
      <c r="D6" s="86">
        <f t="shared" si="2"/>
        <v>1</v>
      </c>
      <c r="E6" s="86">
        <f t="shared" si="3"/>
        <v>0.5</v>
      </c>
      <c r="F6" s="86">
        <f t="shared" si="4"/>
        <v>1</v>
      </c>
      <c r="H6" s="84" t="s">
        <v>441</v>
      </c>
      <c r="I6" s="85" t="str">
        <f>IFERROR(__xludf.DUMMYFUNCTION("""COMPUTED_VALUE"""),"12. Flávio (churras +1)")</f>
        <v>12. Flávio (churras +1)</v>
      </c>
      <c r="J6" s="85" t="str">
        <f>IFERROR(__xludf.DUMMYFUNCTION("""COMPUTED_VALUE"""),"10. Guilherme (nao churras)")</f>
        <v>10. Guilherme (nao churras)</v>
      </c>
    </row>
    <row r="7">
      <c r="A7" s="5" t="s">
        <v>443</v>
      </c>
      <c r="B7" s="83" t="s">
        <v>440</v>
      </c>
      <c r="C7" s="86">
        <f t="shared" si="1"/>
        <v>0.6843976185</v>
      </c>
      <c r="D7" s="86">
        <f t="shared" si="2"/>
        <v>2</v>
      </c>
      <c r="E7" s="86">
        <f t="shared" si="3"/>
        <v>1</v>
      </c>
      <c r="F7" s="86">
        <f t="shared" si="4"/>
        <v>1</v>
      </c>
      <c r="H7" s="84" t="s">
        <v>441</v>
      </c>
      <c r="I7" s="85" t="str">
        <f>IFERROR(__xludf.DUMMYFUNCTION("""COMPUTED_VALUE"""),"13. Ranieri (churras +1)")</f>
        <v>13. Ranieri (churras +1)</v>
      </c>
      <c r="J7" s="85" t="str">
        <f>IFERROR(__xludf.DUMMYFUNCTION("""COMPUTED_VALUE"""),"11. Scofa (churras +1)")</f>
        <v>11. Scofa (churras +1)</v>
      </c>
    </row>
    <row r="8">
      <c r="A8" s="5" t="s">
        <v>444</v>
      </c>
      <c r="B8" s="83" t="s">
        <v>440</v>
      </c>
      <c r="C8" s="86">
        <f t="shared" si="1"/>
        <v>0.673518831</v>
      </c>
      <c r="D8" s="86">
        <f t="shared" si="2"/>
        <v>4</v>
      </c>
      <c r="E8" s="86">
        <f t="shared" si="3"/>
        <v>2</v>
      </c>
      <c r="F8" s="86">
        <f t="shared" si="4"/>
        <v>2</v>
      </c>
      <c r="H8" s="84" t="s">
        <v>445</v>
      </c>
      <c r="I8" s="85" t="str">
        <f>IFERROR(__xludf.DUMMYFUNCTION("FILTER($A$5:$A$22,I$2=$F$5:$F$22,$H8=$B$5:$B$22)"),"14. Gustavo (churras +1)")</f>
        <v>14. Gustavo (churras +1)</v>
      </c>
      <c r="J8" s="85" t="str">
        <f>IFERROR(__xludf.DUMMYFUNCTION("FILTER($A$5:$A$22,J$2=$F$5:$F$22,$H8=$B$5:$B$22)"),"3. Sergio")</f>
        <v>3. Sergio</v>
      </c>
    </row>
    <row r="9">
      <c r="A9" s="5" t="s">
        <v>446</v>
      </c>
      <c r="B9" s="83" t="s">
        <v>441</v>
      </c>
      <c r="C9" s="86">
        <f t="shared" si="1"/>
        <v>0.7003755998</v>
      </c>
      <c r="D9" s="86">
        <f t="shared" ref="D9:D14" si="5">rank(C9,$C$9:$C$14)</f>
        <v>2</v>
      </c>
      <c r="E9" s="86">
        <f t="shared" si="3"/>
        <v>0.6666666667</v>
      </c>
      <c r="F9" s="86">
        <f t="shared" si="4"/>
        <v>1</v>
      </c>
      <c r="H9" s="84" t="s">
        <v>445</v>
      </c>
      <c r="I9" s="85" t="str">
        <f>IFERROR(__xludf.DUMMYFUNCTION("""COMPUTED_VALUE"""),"15. Mauro")</f>
        <v>15. Mauro</v>
      </c>
      <c r="J9" s="85" t="str">
        <f>IFERROR(__xludf.DUMMYFUNCTION("""COMPUTED_VALUE"""),"5. Rodrigo (churras +1)")</f>
        <v>5. Rodrigo (churras +1)</v>
      </c>
    </row>
    <row r="10">
      <c r="A10" s="5" t="s">
        <v>447</v>
      </c>
      <c r="B10" s="83" t="s">
        <v>441</v>
      </c>
      <c r="C10" s="86">
        <f t="shared" si="1"/>
        <v>0.1710267679</v>
      </c>
      <c r="D10" s="86">
        <f t="shared" si="5"/>
        <v>5</v>
      </c>
      <c r="E10" s="86">
        <f t="shared" si="3"/>
        <v>1.666666667</v>
      </c>
      <c r="F10" s="86">
        <f t="shared" si="4"/>
        <v>2</v>
      </c>
      <c r="H10" s="84" t="s">
        <v>445</v>
      </c>
      <c r="I10" s="85" t="str">
        <f>IFERROR(__xludf.DUMMYFUNCTION("""COMPUTED_VALUE"""),"16. Pab (churras +1)")</f>
        <v>16. Pab (churras +1)</v>
      </c>
      <c r="J10" s="85" t="str">
        <f>IFERROR(__xludf.DUMMYFUNCTION("""COMPUTED_VALUE"""),"18. Cleiton")</f>
        <v>18. Cleiton</v>
      </c>
    </row>
    <row r="11">
      <c r="A11" s="5" t="s">
        <v>448</v>
      </c>
      <c r="B11" s="83" t="s">
        <v>441</v>
      </c>
      <c r="C11" s="86">
        <f t="shared" si="1"/>
        <v>0.06266776559</v>
      </c>
      <c r="D11" s="86">
        <f t="shared" si="5"/>
        <v>6</v>
      </c>
      <c r="E11" s="86">
        <f t="shared" si="3"/>
        <v>2</v>
      </c>
      <c r="F11" s="86">
        <f t="shared" si="4"/>
        <v>2</v>
      </c>
      <c r="H11" s="84" t="s">
        <v>440</v>
      </c>
      <c r="I11" s="85" t="str">
        <f>IFERROR(__xludf.DUMMYFUNCTION("FILTER($A$5:$A$22,I$2=$F$5:$F$22,$H11=$B$5:$B$22)"),"4. Rafa Mattos (não churras)")</f>
        <v>4. Rafa Mattos (não churras)</v>
      </c>
      <c r="J11" s="85" t="str">
        <f>IFERROR(__xludf.DUMMYFUNCTION("FILTER($A$5:$A$22,J$2=$F$5:$F$22,$H11=$B$5:$B$22)"),"1. Kuster (não churras)")</f>
        <v>1. Kuster (não churras)</v>
      </c>
    </row>
    <row r="12">
      <c r="A12" s="5" t="s">
        <v>449</v>
      </c>
      <c r="B12" s="83" t="s">
        <v>441</v>
      </c>
      <c r="C12" s="86">
        <f t="shared" si="1"/>
        <v>0.1938060314</v>
      </c>
      <c r="D12" s="86">
        <f t="shared" si="5"/>
        <v>4</v>
      </c>
      <c r="E12" s="86">
        <f t="shared" si="3"/>
        <v>1.333333333</v>
      </c>
      <c r="F12" s="86">
        <f t="shared" si="4"/>
        <v>2</v>
      </c>
      <c r="H12" s="84" t="s">
        <v>440</v>
      </c>
      <c r="I12" s="85" t="str">
        <f>IFERROR(__xludf.DUMMYFUNCTION("""COMPUTED_VALUE"""),"6. Arthur")</f>
        <v>6. Arthur</v>
      </c>
      <c r="J12" s="85" t="str">
        <f>IFERROR(__xludf.DUMMYFUNCTION("""COMPUTED_VALUE"""),"7. mazza (churras+1)")</f>
        <v>7. mazza (churras+1)</v>
      </c>
    </row>
    <row r="13">
      <c r="A13" s="5" t="s">
        <v>450</v>
      </c>
      <c r="B13" s="83" t="s">
        <v>441</v>
      </c>
      <c r="C13" s="86">
        <f t="shared" si="1"/>
        <v>0.7169691956</v>
      </c>
      <c r="D13" s="86">
        <f t="shared" si="5"/>
        <v>1</v>
      </c>
      <c r="E13" s="86">
        <f t="shared" si="3"/>
        <v>0.3333333333</v>
      </c>
      <c r="F13" s="86">
        <f t="shared" si="4"/>
        <v>1</v>
      </c>
      <c r="I13" s="3"/>
      <c r="J13" s="3"/>
    </row>
    <row r="14">
      <c r="A14" s="5" t="s">
        <v>451</v>
      </c>
      <c r="B14" s="83" t="s">
        <v>441</v>
      </c>
      <c r="C14" s="86">
        <f t="shared" si="1"/>
        <v>0.5078098725</v>
      </c>
      <c r="D14" s="86">
        <f t="shared" si="5"/>
        <v>3</v>
      </c>
      <c r="E14" s="86">
        <f t="shared" si="3"/>
        <v>1</v>
      </c>
      <c r="F14" s="86">
        <f t="shared" si="4"/>
        <v>1</v>
      </c>
      <c r="H14" s="9" t="s">
        <v>452</v>
      </c>
      <c r="I14" s="2">
        <v>1.0</v>
      </c>
      <c r="J14" s="2">
        <v>2.0</v>
      </c>
    </row>
    <row r="15">
      <c r="A15" s="5" t="s">
        <v>453</v>
      </c>
      <c r="B15" s="83" t="s">
        <v>438</v>
      </c>
      <c r="C15" s="86">
        <f t="shared" si="1"/>
        <v>0.153857835</v>
      </c>
      <c r="D15" s="86">
        <f t="shared" ref="D15:D16" si="6">rank(C15,$C$15:$C$16)</f>
        <v>2</v>
      </c>
      <c r="E15" s="86">
        <f t="shared" si="3"/>
        <v>2</v>
      </c>
      <c r="F15" s="86">
        <f t="shared" si="4"/>
        <v>2</v>
      </c>
      <c r="I15" s="2" t="s">
        <v>431</v>
      </c>
      <c r="J15" s="2" t="s">
        <v>432</v>
      </c>
    </row>
    <row r="16">
      <c r="A16" s="5" t="s">
        <v>454</v>
      </c>
      <c r="B16" s="83" t="s">
        <v>438</v>
      </c>
      <c r="C16" s="86">
        <f t="shared" si="1"/>
        <v>0.5308316666</v>
      </c>
      <c r="D16" s="86">
        <f t="shared" si="6"/>
        <v>1</v>
      </c>
      <c r="E16" s="86">
        <f t="shared" si="3"/>
        <v>1</v>
      </c>
      <c r="F16" s="86">
        <f t="shared" si="4"/>
        <v>1</v>
      </c>
      <c r="H16" s="5" t="s">
        <v>438</v>
      </c>
      <c r="I16" s="3" t="s">
        <v>453</v>
      </c>
      <c r="J16" s="3" t="s">
        <v>454</v>
      </c>
    </row>
    <row r="17">
      <c r="A17" s="5" t="s">
        <v>455</v>
      </c>
      <c r="B17" s="83" t="s">
        <v>445</v>
      </c>
      <c r="C17" s="86">
        <f t="shared" si="1"/>
        <v>0.2941271765</v>
      </c>
      <c r="D17" s="86">
        <f t="shared" ref="D17:D22" si="7">rank(C17,$C$17:$C$22)</f>
        <v>6</v>
      </c>
      <c r="E17" s="86">
        <f t="shared" si="3"/>
        <v>2</v>
      </c>
      <c r="F17" s="86">
        <f t="shared" si="4"/>
        <v>2</v>
      </c>
      <c r="H17" s="5" t="s">
        <v>441</v>
      </c>
      <c r="I17" s="3" t="s">
        <v>446</v>
      </c>
      <c r="J17" s="3" t="s">
        <v>448</v>
      </c>
    </row>
    <row r="18">
      <c r="A18" s="5" t="s">
        <v>456</v>
      </c>
      <c r="B18" s="83" t="s">
        <v>445</v>
      </c>
      <c r="C18" s="86">
        <f t="shared" si="1"/>
        <v>0.39838993</v>
      </c>
      <c r="D18" s="86">
        <f t="shared" si="7"/>
        <v>5</v>
      </c>
      <c r="E18" s="86">
        <f t="shared" si="3"/>
        <v>1.666666667</v>
      </c>
      <c r="F18" s="86">
        <f t="shared" si="4"/>
        <v>2</v>
      </c>
      <c r="H18" s="5" t="s">
        <v>441</v>
      </c>
      <c r="I18" s="3" t="s">
        <v>447</v>
      </c>
      <c r="J18" s="3" t="s">
        <v>450</v>
      </c>
    </row>
    <row r="19">
      <c r="A19" s="5" t="s">
        <v>457</v>
      </c>
      <c r="B19" s="83" t="s">
        <v>445</v>
      </c>
      <c r="C19" s="86">
        <f t="shared" si="1"/>
        <v>0.7732968434</v>
      </c>
      <c r="D19" s="86">
        <f t="shared" si="7"/>
        <v>2</v>
      </c>
      <c r="E19" s="86">
        <f t="shared" si="3"/>
        <v>0.6666666667</v>
      </c>
      <c r="F19" s="86">
        <f t="shared" si="4"/>
        <v>1</v>
      </c>
      <c r="H19" s="5" t="s">
        <v>441</v>
      </c>
      <c r="I19" s="3" t="s">
        <v>449</v>
      </c>
      <c r="J19" s="3" t="s">
        <v>451</v>
      </c>
    </row>
    <row r="20">
      <c r="A20" s="5" t="s">
        <v>458</v>
      </c>
      <c r="B20" s="83" t="s">
        <v>445</v>
      </c>
      <c r="C20" s="86">
        <f t="shared" si="1"/>
        <v>0.8073711422</v>
      </c>
      <c r="D20" s="86">
        <f t="shared" si="7"/>
        <v>1</v>
      </c>
      <c r="E20" s="86">
        <f t="shared" si="3"/>
        <v>0.3333333333</v>
      </c>
      <c r="F20" s="86">
        <f t="shared" si="4"/>
        <v>1</v>
      </c>
      <c r="H20" s="5" t="s">
        <v>445</v>
      </c>
      <c r="I20" s="3" t="s">
        <v>455</v>
      </c>
      <c r="J20" s="3" t="s">
        <v>457</v>
      </c>
    </row>
    <row r="21">
      <c r="A21" s="5" t="s">
        <v>459</v>
      </c>
      <c r="B21" s="83" t="s">
        <v>445</v>
      </c>
      <c r="C21" s="86">
        <f t="shared" si="1"/>
        <v>0.67014774</v>
      </c>
      <c r="D21" s="86">
        <f t="shared" si="7"/>
        <v>3</v>
      </c>
      <c r="E21" s="86">
        <f t="shared" si="3"/>
        <v>1</v>
      </c>
      <c r="F21" s="86">
        <f t="shared" si="4"/>
        <v>1</v>
      </c>
      <c r="H21" s="5" t="s">
        <v>445</v>
      </c>
      <c r="I21" s="3" t="s">
        <v>456</v>
      </c>
      <c r="J21" s="3" t="s">
        <v>458</v>
      </c>
    </row>
    <row r="22">
      <c r="A22" s="5" t="s">
        <v>460</v>
      </c>
      <c r="B22" s="83" t="s">
        <v>445</v>
      </c>
      <c r="C22" s="86">
        <f t="shared" si="1"/>
        <v>0.6540814859</v>
      </c>
      <c r="D22" s="86">
        <f t="shared" si="7"/>
        <v>4</v>
      </c>
      <c r="E22" s="86">
        <f t="shared" si="3"/>
        <v>1.333333333</v>
      </c>
      <c r="F22" s="86">
        <f t="shared" si="4"/>
        <v>2</v>
      </c>
      <c r="H22" s="5" t="s">
        <v>445</v>
      </c>
      <c r="I22" s="3" t="s">
        <v>459</v>
      </c>
      <c r="J22" s="3" t="s">
        <v>460</v>
      </c>
    </row>
    <row r="23">
      <c r="A23" s="5"/>
      <c r="B23" s="5"/>
      <c r="H23" s="5" t="s">
        <v>440</v>
      </c>
      <c r="I23" s="3" t="s">
        <v>443</v>
      </c>
      <c r="J23" s="3" t="s">
        <v>439</v>
      </c>
    </row>
    <row r="24">
      <c r="A24" s="5" t="s">
        <v>461</v>
      </c>
      <c r="B24" s="5">
        <v>2.0</v>
      </c>
      <c r="C24" s="5" t="s">
        <v>462</v>
      </c>
      <c r="H24" s="5" t="s">
        <v>440</v>
      </c>
      <c r="I24" s="3" t="s">
        <v>444</v>
      </c>
      <c r="J24" s="3" t="s">
        <v>442</v>
      </c>
    </row>
    <row r="25">
      <c r="A25" s="5" t="s">
        <v>438</v>
      </c>
      <c r="B25" s="24">
        <f t="shared" ref="B25:B28" si="8">countif($B$5:$B$22,A25)</f>
        <v>2</v>
      </c>
      <c r="C25" s="24">
        <f t="shared" ref="C25:C28" si="9">B25/$B$24</f>
        <v>1</v>
      </c>
      <c r="I25" s="3"/>
      <c r="J25" s="3"/>
    </row>
    <row r="26">
      <c r="A26" s="5" t="s">
        <v>441</v>
      </c>
      <c r="B26" s="24">
        <f t="shared" si="8"/>
        <v>6</v>
      </c>
      <c r="C26" s="24">
        <f t="shared" si="9"/>
        <v>3</v>
      </c>
      <c r="I26" s="3"/>
      <c r="J26" s="3"/>
    </row>
    <row r="27">
      <c r="A27" s="5" t="s">
        <v>445</v>
      </c>
      <c r="B27" s="24">
        <f t="shared" si="8"/>
        <v>6</v>
      </c>
      <c r="C27" s="24">
        <f t="shared" si="9"/>
        <v>3</v>
      </c>
      <c r="I27" s="3"/>
      <c r="J27" s="3"/>
    </row>
    <row r="28">
      <c r="A28" s="5" t="s">
        <v>440</v>
      </c>
      <c r="B28" s="24">
        <f t="shared" si="8"/>
        <v>4</v>
      </c>
      <c r="C28" s="24">
        <f t="shared" si="9"/>
        <v>2</v>
      </c>
      <c r="I28" s="3"/>
      <c r="J28" s="3"/>
    </row>
    <row r="29">
      <c r="I29" s="3"/>
      <c r="J29" s="3"/>
    </row>
    <row r="30">
      <c r="I30" s="3"/>
      <c r="J30" s="3"/>
    </row>
    <row r="31">
      <c r="I31" s="3"/>
      <c r="J31" s="3"/>
    </row>
    <row r="32">
      <c r="I32" s="3"/>
      <c r="J32" s="3"/>
    </row>
    <row r="33">
      <c r="I33" s="3"/>
      <c r="J33" s="3"/>
    </row>
    <row r="34">
      <c r="I34" s="3"/>
      <c r="J34" s="3"/>
    </row>
    <row r="35">
      <c r="I35" s="3"/>
      <c r="J35" s="3"/>
    </row>
    <row r="36">
      <c r="I36" s="3"/>
      <c r="J36" s="3"/>
    </row>
    <row r="37">
      <c r="I37" s="3"/>
      <c r="J37" s="3"/>
    </row>
    <row r="38">
      <c r="I38" s="3"/>
      <c r="J38" s="3"/>
    </row>
    <row r="39">
      <c r="I39" s="3"/>
      <c r="J39" s="3"/>
    </row>
    <row r="40">
      <c r="I40" s="3"/>
      <c r="J40" s="3"/>
    </row>
    <row r="41">
      <c r="I41" s="3"/>
      <c r="J41" s="3"/>
    </row>
    <row r="42">
      <c r="I42" s="3"/>
      <c r="J42" s="3"/>
    </row>
    <row r="43">
      <c r="I43" s="3"/>
      <c r="J43" s="3"/>
    </row>
    <row r="44">
      <c r="I44" s="3"/>
      <c r="J44" s="3"/>
    </row>
    <row r="45">
      <c r="I45" s="3"/>
      <c r="J45" s="3"/>
    </row>
    <row r="46">
      <c r="I46" s="3"/>
      <c r="J46" s="3"/>
    </row>
    <row r="47">
      <c r="I47" s="3"/>
      <c r="J47" s="3"/>
    </row>
    <row r="48">
      <c r="I48" s="3"/>
      <c r="J48" s="3"/>
    </row>
    <row r="49">
      <c r="I49" s="3"/>
      <c r="J49" s="3"/>
    </row>
    <row r="50">
      <c r="I50" s="3"/>
      <c r="J50" s="3"/>
    </row>
    <row r="51">
      <c r="I51" s="3"/>
      <c r="J51" s="3"/>
    </row>
    <row r="52">
      <c r="I52" s="3"/>
      <c r="J52" s="3"/>
    </row>
    <row r="53">
      <c r="I53" s="3"/>
      <c r="J53" s="3"/>
    </row>
    <row r="54">
      <c r="I54" s="3"/>
      <c r="J54" s="3"/>
    </row>
    <row r="55">
      <c r="I55" s="3"/>
      <c r="J55" s="3"/>
    </row>
    <row r="56">
      <c r="I56" s="3"/>
      <c r="J56" s="3"/>
    </row>
    <row r="57">
      <c r="I57" s="3"/>
      <c r="J57" s="3"/>
    </row>
    <row r="58">
      <c r="I58" s="3"/>
      <c r="J58" s="3"/>
    </row>
    <row r="59">
      <c r="I59" s="3"/>
      <c r="J59" s="3"/>
    </row>
    <row r="60">
      <c r="I60" s="3"/>
      <c r="J60" s="3"/>
    </row>
    <row r="61">
      <c r="I61" s="3"/>
      <c r="J61" s="3"/>
    </row>
    <row r="62">
      <c r="I62" s="3"/>
      <c r="J62" s="3"/>
    </row>
    <row r="63">
      <c r="I63" s="3"/>
      <c r="J63" s="3"/>
    </row>
    <row r="64">
      <c r="I64" s="3"/>
      <c r="J64" s="3"/>
    </row>
    <row r="65">
      <c r="I65" s="3"/>
      <c r="J65" s="3"/>
    </row>
    <row r="66">
      <c r="I66" s="3"/>
      <c r="J66" s="3"/>
    </row>
    <row r="67">
      <c r="I67" s="3"/>
      <c r="J67" s="3"/>
    </row>
    <row r="68">
      <c r="I68" s="3"/>
      <c r="J68" s="3"/>
    </row>
    <row r="69">
      <c r="I69" s="3"/>
      <c r="J69" s="3"/>
    </row>
    <row r="70">
      <c r="I70" s="3"/>
      <c r="J70" s="3"/>
    </row>
    <row r="71">
      <c r="I71" s="3"/>
      <c r="J71" s="3"/>
    </row>
    <row r="72">
      <c r="I72" s="3"/>
      <c r="J72" s="3"/>
    </row>
    <row r="73">
      <c r="I73" s="3"/>
      <c r="J73" s="3"/>
    </row>
    <row r="74">
      <c r="I74" s="3"/>
      <c r="J74" s="3"/>
    </row>
    <row r="75">
      <c r="I75" s="3"/>
      <c r="J75" s="3"/>
    </row>
    <row r="76">
      <c r="I76" s="3"/>
      <c r="J76" s="3"/>
    </row>
    <row r="77">
      <c r="I77" s="3"/>
      <c r="J77" s="3"/>
    </row>
    <row r="78">
      <c r="I78" s="3"/>
      <c r="J78" s="3"/>
    </row>
    <row r="79">
      <c r="I79" s="3"/>
      <c r="J79" s="3"/>
    </row>
    <row r="80">
      <c r="I80" s="3"/>
      <c r="J80" s="3"/>
    </row>
    <row r="81">
      <c r="I81" s="3"/>
      <c r="J81" s="3"/>
    </row>
    <row r="82">
      <c r="I82" s="3"/>
      <c r="J82" s="3"/>
    </row>
    <row r="83">
      <c r="I83" s="3"/>
      <c r="J83" s="3"/>
    </row>
    <row r="84">
      <c r="I84" s="3"/>
      <c r="J84" s="3"/>
    </row>
    <row r="85">
      <c r="I85" s="3"/>
      <c r="J85" s="3"/>
    </row>
    <row r="86">
      <c r="I86" s="3"/>
      <c r="J86" s="3"/>
    </row>
    <row r="87">
      <c r="I87" s="3"/>
      <c r="J87" s="3"/>
    </row>
    <row r="88">
      <c r="I88" s="3"/>
      <c r="J88" s="3"/>
    </row>
    <row r="89">
      <c r="I89" s="3"/>
      <c r="J89" s="3"/>
    </row>
    <row r="90">
      <c r="I90" s="3"/>
      <c r="J90" s="3"/>
    </row>
    <row r="91">
      <c r="I91" s="3"/>
      <c r="J91" s="3"/>
    </row>
    <row r="92">
      <c r="I92" s="3"/>
      <c r="J92" s="3"/>
    </row>
    <row r="93">
      <c r="I93" s="3"/>
      <c r="J93" s="3"/>
    </row>
    <row r="94">
      <c r="I94" s="3"/>
      <c r="J94" s="3"/>
    </row>
    <row r="95">
      <c r="I95" s="3"/>
      <c r="J95" s="3"/>
    </row>
    <row r="96">
      <c r="I96" s="3"/>
      <c r="J96" s="3"/>
    </row>
    <row r="97">
      <c r="I97" s="3"/>
      <c r="J97" s="3"/>
    </row>
    <row r="98">
      <c r="I98" s="3"/>
      <c r="J98" s="3"/>
    </row>
    <row r="99">
      <c r="I99" s="3"/>
      <c r="J99" s="3"/>
    </row>
    <row r="100">
      <c r="I100" s="3"/>
      <c r="J100" s="3"/>
    </row>
    <row r="101">
      <c r="I101" s="3"/>
      <c r="J101" s="3"/>
    </row>
    <row r="102">
      <c r="I102" s="3"/>
      <c r="J102" s="3"/>
    </row>
    <row r="103">
      <c r="I103" s="3"/>
      <c r="J103" s="3"/>
    </row>
    <row r="104">
      <c r="I104" s="3"/>
      <c r="J104" s="3"/>
    </row>
    <row r="105">
      <c r="I105" s="3"/>
      <c r="J105" s="3"/>
    </row>
    <row r="106">
      <c r="I106" s="3"/>
      <c r="J106" s="3"/>
    </row>
    <row r="107">
      <c r="I107" s="3"/>
      <c r="J107" s="3"/>
    </row>
    <row r="108">
      <c r="I108" s="3"/>
      <c r="J108" s="3"/>
    </row>
    <row r="109">
      <c r="I109" s="3"/>
      <c r="J109" s="3"/>
    </row>
    <row r="110">
      <c r="I110" s="3"/>
      <c r="J110" s="3"/>
    </row>
    <row r="111">
      <c r="I111" s="3"/>
      <c r="J111" s="3"/>
    </row>
    <row r="112">
      <c r="I112" s="3"/>
      <c r="J112" s="3"/>
    </row>
    <row r="113">
      <c r="I113" s="3"/>
      <c r="J113" s="3"/>
    </row>
    <row r="114">
      <c r="I114" s="3"/>
      <c r="J114" s="3"/>
    </row>
    <row r="115">
      <c r="I115" s="3"/>
      <c r="J115" s="3"/>
    </row>
    <row r="116">
      <c r="I116" s="3"/>
      <c r="J116" s="3"/>
    </row>
    <row r="117">
      <c r="I117" s="3"/>
      <c r="J117" s="3"/>
    </row>
    <row r="118">
      <c r="I118" s="3"/>
      <c r="J118" s="3"/>
    </row>
    <row r="119">
      <c r="I119" s="3"/>
      <c r="J119" s="3"/>
    </row>
    <row r="120">
      <c r="I120" s="3"/>
      <c r="J120" s="3"/>
    </row>
    <row r="121">
      <c r="I121" s="3"/>
      <c r="J121" s="3"/>
    </row>
    <row r="122">
      <c r="I122" s="3"/>
      <c r="J122" s="3"/>
    </row>
    <row r="123">
      <c r="I123" s="3"/>
      <c r="J123" s="3"/>
    </row>
    <row r="124">
      <c r="I124" s="3"/>
      <c r="J124" s="3"/>
    </row>
    <row r="125">
      <c r="I125" s="3"/>
      <c r="J125" s="3"/>
    </row>
    <row r="126">
      <c r="I126" s="3"/>
      <c r="J126" s="3"/>
    </row>
    <row r="127">
      <c r="I127" s="3"/>
      <c r="J127" s="3"/>
    </row>
    <row r="128">
      <c r="I128" s="3"/>
      <c r="J128" s="3"/>
    </row>
    <row r="129">
      <c r="I129" s="3"/>
      <c r="J129" s="3"/>
    </row>
    <row r="130">
      <c r="I130" s="3"/>
      <c r="J130" s="3"/>
    </row>
    <row r="131">
      <c r="I131" s="3"/>
      <c r="J131" s="3"/>
    </row>
    <row r="132">
      <c r="I132" s="3"/>
      <c r="J132" s="3"/>
    </row>
    <row r="133">
      <c r="I133" s="3"/>
      <c r="J133" s="3"/>
    </row>
    <row r="134">
      <c r="I134" s="3"/>
      <c r="J134" s="3"/>
    </row>
    <row r="135">
      <c r="I135" s="3"/>
      <c r="J135" s="3"/>
    </row>
    <row r="136">
      <c r="I136" s="3"/>
      <c r="J136" s="3"/>
    </row>
    <row r="137">
      <c r="I137" s="3"/>
      <c r="J137" s="3"/>
    </row>
    <row r="138">
      <c r="I138" s="3"/>
      <c r="J138" s="3"/>
    </row>
    <row r="139">
      <c r="I139" s="3"/>
      <c r="J139" s="3"/>
    </row>
    <row r="140">
      <c r="I140" s="3"/>
      <c r="J140" s="3"/>
    </row>
    <row r="141">
      <c r="I141" s="3"/>
      <c r="J141" s="3"/>
    </row>
    <row r="142">
      <c r="I142" s="3"/>
      <c r="J142" s="3"/>
    </row>
    <row r="143">
      <c r="I143" s="3"/>
      <c r="J143" s="3"/>
    </row>
    <row r="144">
      <c r="I144" s="3"/>
      <c r="J144" s="3"/>
    </row>
    <row r="145">
      <c r="I145" s="3"/>
      <c r="J145" s="3"/>
    </row>
    <row r="146">
      <c r="I146" s="3"/>
      <c r="J146" s="3"/>
    </row>
    <row r="147">
      <c r="I147" s="3"/>
      <c r="J147" s="3"/>
    </row>
    <row r="148">
      <c r="I148" s="3"/>
      <c r="J148" s="3"/>
    </row>
    <row r="149">
      <c r="I149" s="3"/>
      <c r="J149" s="3"/>
    </row>
    <row r="150">
      <c r="I150" s="3"/>
      <c r="J150" s="3"/>
    </row>
    <row r="151">
      <c r="I151" s="3"/>
      <c r="J151" s="3"/>
    </row>
    <row r="152">
      <c r="I152" s="3"/>
      <c r="J152" s="3"/>
    </row>
    <row r="153">
      <c r="I153" s="3"/>
      <c r="J153" s="3"/>
    </row>
    <row r="154">
      <c r="I154" s="3"/>
      <c r="J154" s="3"/>
    </row>
    <row r="155">
      <c r="I155" s="3"/>
      <c r="J155" s="3"/>
    </row>
    <row r="156">
      <c r="I156" s="3"/>
      <c r="J156" s="3"/>
    </row>
    <row r="157">
      <c r="I157" s="3"/>
      <c r="J157" s="3"/>
    </row>
    <row r="158">
      <c r="I158" s="3"/>
      <c r="J158" s="3"/>
    </row>
    <row r="159">
      <c r="I159" s="3"/>
      <c r="J159" s="3"/>
    </row>
    <row r="160">
      <c r="I160" s="3"/>
      <c r="J160" s="3"/>
    </row>
    <row r="161">
      <c r="I161" s="3"/>
      <c r="J161" s="3"/>
    </row>
    <row r="162">
      <c r="I162" s="3"/>
      <c r="J162" s="3"/>
    </row>
    <row r="163">
      <c r="I163" s="3"/>
      <c r="J163" s="3"/>
    </row>
    <row r="164">
      <c r="I164" s="3"/>
      <c r="J164" s="3"/>
    </row>
    <row r="165">
      <c r="I165" s="3"/>
      <c r="J165" s="3"/>
    </row>
    <row r="166">
      <c r="I166" s="3"/>
      <c r="J166" s="3"/>
    </row>
    <row r="167">
      <c r="I167" s="3"/>
      <c r="J167" s="3"/>
    </row>
    <row r="168">
      <c r="I168" s="3"/>
      <c r="J168" s="3"/>
    </row>
    <row r="169">
      <c r="I169" s="3"/>
      <c r="J169" s="3"/>
    </row>
    <row r="170">
      <c r="I170" s="3"/>
      <c r="J170" s="3"/>
    </row>
    <row r="171">
      <c r="I171" s="3"/>
      <c r="J171" s="3"/>
    </row>
    <row r="172">
      <c r="I172" s="3"/>
      <c r="J172" s="3"/>
    </row>
    <row r="173">
      <c r="I173" s="3"/>
      <c r="J173" s="3"/>
    </row>
    <row r="174">
      <c r="I174" s="3"/>
      <c r="J174" s="3"/>
    </row>
    <row r="175">
      <c r="I175" s="3"/>
      <c r="J175" s="3"/>
    </row>
    <row r="176">
      <c r="I176" s="3"/>
      <c r="J176" s="3"/>
    </row>
    <row r="177">
      <c r="I177" s="3"/>
      <c r="J177" s="3"/>
    </row>
    <row r="178">
      <c r="I178" s="3"/>
      <c r="J178" s="3"/>
    </row>
    <row r="179">
      <c r="I179" s="3"/>
      <c r="J179" s="3"/>
    </row>
    <row r="180">
      <c r="I180" s="3"/>
      <c r="J180" s="3"/>
    </row>
    <row r="181">
      <c r="I181" s="3"/>
      <c r="J181" s="3"/>
    </row>
    <row r="182">
      <c r="I182" s="3"/>
      <c r="J182" s="3"/>
    </row>
    <row r="183">
      <c r="I183" s="3"/>
      <c r="J183" s="3"/>
    </row>
    <row r="184">
      <c r="I184" s="3"/>
      <c r="J184" s="3"/>
    </row>
    <row r="185">
      <c r="I185" s="3"/>
      <c r="J185" s="3"/>
    </row>
    <row r="186">
      <c r="I186" s="3"/>
      <c r="J186" s="3"/>
    </row>
    <row r="187">
      <c r="I187" s="3"/>
      <c r="J187" s="3"/>
    </row>
    <row r="188">
      <c r="I188" s="3"/>
      <c r="J188" s="3"/>
    </row>
    <row r="189">
      <c r="I189" s="3"/>
      <c r="J189" s="3"/>
    </row>
    <row r="190">
      <c r="I190" s="3"/>
      <c r="J190" s="3"/>
    </row>
    <row r="191">
      <c r="I191" s="3"/>
      <c r="J191" s="3"/>
    </row>
    <row r="192">
      <c r="I192" s="3"/>
      <c r="J192" s="3"/>
    </row>
    <row r="193">
      <c r="I193" s="3"/>
      <c r="J193" s="3"/>
    </row>
    <row r="194">
      <c r="I194" s="3"/>
      <c r="J194" s="3"/>
    </row>
    <row r="195">
      <c r="I195" s="3"/>
      <c r="J195" s="3"/>
    </row>
    <row r="196">
      <c r="I196" s="3"/>
      <c r="J196" s="3"/>
    </row>
    <row r="197">
      <c r="I197" s="3"/>
      <c r="J197" s="3"/>
    </row>
    <row r="198">
      <c r="I198" s="3"/>
      <c r="J198" s="3"/>
    </row>
    <row r="199">
      <c r="I199" s="3"/>
      <c r="J199" s="3"/>
    </row>
    <row r="200">
      <c r="I200" s="3"/>
      <c r="J200" s="3"/>
    </row>
    <row r="201">
      <c r="I201" s="3"/>
      <c r="J201" s="3"/>
    </row>
    <row r="202">
      <c r="I202" s="3"/>
      <c r="J202" s="3"/>
    </row>
    <row r="203">
      <c r="I203" s="3"/>
      <c r="J203" s="3"/>
    </row>
    <row r="204">
      <c r="I204" s="3"/>
      <c r="J204" s="3"/>
    </row>
    <row r="205">
      <c r="I205" s="3"/>
      <c r="J205" s="3"/>
    </row>
    <row r="206">
      <c r="I206" s="3"/>
      <c r="J206" s="3"/>
    </row>
    <row r="207">
      <c r="I207" s="3"/>
      <c r="J207" s="3"/>
    </row>
    <row r="208">
      <c r="I208" s="3"/>
      <c r="J208" s="3"/>
    </row>
    <row r="209">
      <c r="I209" s="3"/>
      <c r="J209" s="3"/>
    </row>
    <row r="210">
      <c r="I210" s="3"/>
      <c r="J210" s="3"/>
    </row>
    <row r="211">
      <c r="I211" s="3"/>
      <c r="J211" s="3"/>
    </row>
    <row r="212">
      <c r="I212" s="3"/>
      <c r="J212" s="3"/>
    </row>
    <row r="213">
      <c r="I213" s="3"/>
      <c r="J213" s="3"/>
    </row>
    <row r="214">
      <c r="I214" s="3"/>
      <c r="J214" s="3"/>
    </row>
    <row r="215">
      <c r="I215" s="3"/>
      <c r="J215" s="3"/>
    </row>
    <row r="216">
      <c r="I216" s="3"/>
      <c r="J216" s="3"/>
    </row>
    <row r="217">
      <c r="I217" s="3"/>
      <c r="J217" s="3"/>
    </row>
    <row r="218">
      <c r="I218" s="3"/>
      <c r="J218" s="3"/>
    </row>
    <row r="219">
      <c r="I219" s="3"/>
      <c r="J219" s="3"/>
    </row>
    <row r="220">
      <c r="I220" s="3"/>
      <c r="J220" s="3"/>
    </row>
    <row r="221">
      <c r="I221" s="3"/>
      <c r="J221" s="3"/>
    </row>
    <row r="222">
      <c r="I222" s="3"/>
      <c r="J222" s="3"/>
    </row>
    <row r="223">
      <c r="I223" s="3"/>
      <c r="J223" s="3"/>
    </row>
    <row r="224">
      <c r="I224" s="3"/>
      <c r="J224" s="3"/>
    </row>
    <row r="225">
      <c r="I225" s="3"/>
      <c r="J225" s="3"/>
    </row>
    <row r="226">
      <c r="I226" s="3"/>
      <c r="J226" s="3"/>
    </row>
    <row r="227">
      <c r="I227" s="3"/>
      <c r="J227" s="3"/>
    </row>
    <row r="228">
      <c r="I228" s="3"/>
      <c r="J228" s="3"/>
    </row>
    <row r="229">
      <c r="I229" s="3"/>
      <c r="J229" s="3"/>
    </row>
    <row r="230">
      <c r="I230" s="3"/>
      <c r="J230" s="3"/>
    </row>
    <row r="231">
      <c r="I231" s="3"/>
      <c r="J231" s="3"/>
    </row>
    <row r="232">
      <c r="I232" s="3"/>
      <c r="J232" s="3"/>
    </row>
    <row r="233">
      <c r="I233" s="3"/>
      <c r="J233" s="3"/>
    </row>
    <row r="234">
      <c r="I234" s="3"/>
      <c r="J234" s="3"/>
    </row>
    <row r="235">
      <c r="I235" s="3"/>
      <c r="J235" s="3"/>
    </row>
    <row r="236">
      <c r="I236" s="3"/>
      <c r="J236" s="3"/>
    </row>
    <row r="237">
      <c r="I237" s="3"/>
      <c r="J237" s="3"/>
    </row>
    <row r="238">
      <c r="I238" s="3"/>
      <c r="J238" s="3"/>
    </row>
    <row r="239">
      <c r="I239" s="3"/>
      <c r="J239" s="3"/>
    </row>
    <row r="240">
      <c r="I240" s="3"/>
      <c r="J240" s="3"/>
    </row>
    <row r="241">
      <c r="I241" s="3"/>
      <c r="J241" s="3"/>
    </row>
    <row r="242">
      <c r="I242" s="3"/>
      <c r="J242" s="3"/>
    </row>
    <row r="243">
      <c r="I243" s="3"/>
      <c r="J243" s="3"/>
    </row>
    <row r="244">
      <c r="I244" s="3"/>
      <c r="J244" s="3"/>
    </row>
    <row r="245">
      <c r="I245" s="3"/>
      <c r="J245" s="3"/>
    </row>
    <row r="246">
      <c r="I246" s="3"/>
      <c r="J246" s="3"/>
    </row>
    <row r="247">
      <c r="I247" s="3"/>
      <c r="J247" s="3"/>
    </row>
    <row r="248">
      <c r="I248" s="3"/>
      <c r="J248" s="3"/>
    </row>
    <row r="249">
      <c r="I249" s="3"/>
      <c r="J249" s="3"/>
    </row>
    <row r="250">
      <c r="I250" s="3"/>
      <c r="J250" s="3"/>
    </row>
    <row r="251">
      <c r="I251" s="3"/>
      <c r="J251" s="3"/>
    </row>
    <row r="252">
      <c r="I252" s="3"/>
      <c r="J252" s="3"/>
    </row>
    <row r="253">
      <c r="I253" s="3"/>
      <c r="J253" s="3"/>
    </row>
    <row r="254">
      <c r="I254" s="3"/>
      <c r="J254" s="3"/>
    </row>
    <row r="255">
      <c r="I255" s="3"/>
      <c r="J255" s="3"/>
    </row>
    <row r="256">
      <c r="I256" s="3"/>
      <c r="J256" s="3"/>
    </row>
    <row r="257">
      <c r="I257" s="3"/>
      <c r="J257" s="3"/>
    </row>
    <row r="258">
      <c r="I258" s="3"/>
      <c r="J258" s="3"/>
    </row>
    <row r="259">
      <c r="I259" s="3"/>
      <c r="J259" s="3"/>
    </row>
    <row r="260">
      <c r="I260" s="3"/>
      <c r="J260" s="3"/>
    </row>
    <row r="261">
      <c r="I261" s="3"/>
      <c r="J261" s="3"/>
    </row>
    <row r="262">
      <c r="I262" s="3"/>
      <c r="J262" s="3"/>
    </row>
    <row r="263">
      <c r="I263" s="3"/>
      <c r="J263" s="3"/>
    </row>
    <row r="264">
      <c r="I264" s="3"/>
      <c r="J264" s="3"/>
    </row>
    <row r="265">
      <c r="I265" s="3"/>
      <c r="J265" s="3"/>
    </row>
    <row r="266">
      <c r="I266" s="3"/>
      <c r="J266" s="3"/>
    </row>
    <row r="267">
      <c r="I267" s="3"/>
      <c r="J267" s="3"/>
    </row>
    <row r="268">
      <c r="I268" s="3"/>
      <c r="J268" s="3"/>
    </row>
    <row r="269">
      <c r="I269" s="3"/>
      <c r="J269" s="3"/>
    </row>
    <row r="270">
      <c r="I270" s="3"/>
      <c r="J270" s="3"/>
    </row>
    <row r="271">
      <c r="I271" s="3"/>
      <c r="J271" s="3"/>
    </row>
    <row r="272">
      <c r="I272" s="3"/>
      <c r="J272" s="3"/>
    </row>
    <row r="273">
      <c r="I273" s="3"/>
      <c r="J273" s="3"/>
    </row>
    <row r="274">
      <c r="I274" s="3"/>
      <c r="J274" s="3"/>
    </row>
    <row r="275">
      <c r="I275" s="3"/>
      <c r="J275" s="3"/>
    </row>
    <row r="276">
      <c r="I276" s="3"/>
      <c r="J276" s="3"/>
    </row>
    <row r="277">
      <c r="I277" s="3"/>
      <c r="J277" s="3"/>
    </row>
    <row r="278">
      <c r="I278" s="3"/>
      <c r="J278" s="3"/>
    </row>
    <row r="279">
      <c r="I279" s="3"/>
      <c r="J279" s="3"/>
    </row>
    <row r="280">
      <c r="I280" s="3"/>
      <c r="J280" s="3"/>
    </row>
    <row r="281">
      <c r="I281" s="3"/>
      <c r="J281" s="3"/>
    </row>
    <row r="282">
      <c r="I282" s="3"/>
      <c r="J282" s="3"/>
    </row>
    <row r="283">
      <c r="I283" s="3"/>
      <c r="J283" s="3"/>
    </row>
    <row r="284">
      <c r="I284" s="3"/>
      <c r="J284" s="3"/>
    </row>
    <row r="285">
      <c r="I285" s="3"/>
      <c r="J285" s="3"/>
    </row>
    <row r="286">
      <c r="I286" s="3"/>
      <c r="J286" s="3"/>
    </row>
    <row r="287">
      <c r="I287" s="3"/>
      <c r="J287" s="3"/>
    </row>
    <row r="288">
      <c r="I288" s="3"/>
      <c r="J288" s="3"/>
    </row>
    <row r="289">
      <c r="I289" s="3"/>
      <c r="J289" s="3"/>
    </row>
    <row r="290">
      <c r="I290" s="3"/>
      <c r="J290" s="3"/>
    </row>
    <row r="291">
      <c r="I291" s="3"/>
      <c r="J291" s="3"/>
    </row>
    <row r="292">
      <c r="I292" s="3"/>
      <c r="J292" s="3"/>
    </row>
    <row r="293">
      <c r="I293" s="3"/>
      <c r="J293" s="3"/>
    </row>
    <row r="294">
      <c r="I294" s="3"/>
      <c r="J294" s="3"/>
    </row>
    <row r="295">
      <c r="I295" s="3"/>
      <c r="J295" s="3"/>
    </row>
    <row r="296">
      <c r="I296" s="3"/>
      <c r="J296" s="3"/>
    </row>
    <row r="297">
      <c r="I297" s="3"/>
      <c r="J297" s="3"/>
    </row>
    <row r="298">
      <c r="I298" s="3"/>
      <c r="J298" s="3"/>
    </row>
    <row r="299">
      <c r="I299" s="3"/>
      <c r="J299" s="3"/>
    </row>
    <row r="300">
      <c r="I300" s="3"/>
      <c r="J300" s="3"/>
    </row>
    <row r="301">
      <c r="I301" s="3"/>
      <c r="J301" s="3"/>
    </row>
    <row r="302">
      <c r="I302" s="3"/>
      <c r="J302" s="3"/>
    </row>
    <row r="303">
      <c r="I303" s="3"/>
      <c r="J303" s="3"/>
    </row>
    <row r="304">
      <c r="I304" s="3"/>
      <c r="J304" s="3"/>
    </row>
    <row r="305">
      <c r="I305" s="3"/>
      <c r="J305" s="3"/>
    </row>
    <row r="306">
      <c r="I306" s="3"/>
      <c r="J306" s="3"/>
    </row>
    <row r="307">
      <c r="I307" s="3"/>
      <c r="J307" s="3"/>
    </row>
    <row r="308">
      <c r="I308" s="3"/>
      <c r="J308" s="3"/>
    </row>
    <row r="309">
      <c r="I309" s="3"/>
      <c r="J309" s="3"/>
    </row>
    <row r="310">
      <c r="I310" s="3"/>
      <c r="J310" s="3"/>
    </row>
    <row r="311">
      <c r="I311" s="3"/>
      <c r="J311" s="3"/>
    </row>
    <row r="312">
      <c r="I312" s="3"/>
      <c r="J312" s="3"/>
    </row>
    <row r="313">
      <c r="I313" s="3"/>
      <c r="J313" s="3"/>
    </row>
    <row r="314">
      <c r="I314" s="3"/>
      <c r="J314" s="3"/>
    </row>
    <row r="315">
      <c r="I315" s="3"/>
      <c r="J315" s="3"/>
    </row>
    <row r="316">
      <c r="I316" s="3"/>
      <c r="J316" s="3"/>
    </row>
    <row r="317">
      <c r="I317" s="3"/>
      <c r="J317" s="3"/>
    </row>
    <row r="318">
      <c r="I318" s="3"/>
      <c r="J318" s="3"/>
    </row>
    <row r="319">
      <c r="I319" s="3"/>
      <c r="J319" s="3"/>
    </row>
    <row r="320">
      <c r="I320" s="3"/>
      <c r="J320" s="3"/>
    </row>
    <row r="321">
      <c r="I321" s="3"/>
      <c r="J321" s="3"/>
    </row>
    <row r="322">
      <c r="I322" s="3"/>
      <c r="J322" s="3"/>
    </row>
    <row r="323">
      <c r="I323" s="3"/>
      <c r="J323" s="3"/>
    </row>
    <row r="324">
      <c r="I324" s="3"/>
      <c r="J324" s="3"/>
    </row>
    <row r="325">
      <c r="I325" s="3"/>
      <c r="J325" s="3"/>
    </row>
    <row r="326">
      <c r="I326" s="3"/>
      <c r="J326" s="3"/>
    </row>
    <row r="327">
      <c r="I327" s="3"/>
      <c r="J327" s="3"/>
    </row>
    <row r="328">
      <c r="I328" s="3"/>
      <c r="J328" s="3"/>
    </row>
    <row r="329">
      <c r="I329" s="3"/>
      <c r="J329" s="3"/>
    </row>
    <row r="330">
      <c r="I330" s="3"/>
      <c r="J330" s="3"/>
    </row>
    <row r="331">
      <c r="I331" s="3"/>
      <c r="J331" s="3"/>
    </row>
    <row r="332">
      <c r="I332" s="3"/>
      <c r="J332" s="3"/>
    </row>
    <row r="333">
      <c r="I333" s="3"/>
      <c r="J333" s="3"/>
    </row>
    <row r="334">
      <c r="I334" s="3"/>
      <c r="J334" s="3"/>
    </row>
    <row r="335">
      <c r="I335" s="3"/>
      <c r="J335" s="3"/>
    </row>
    <row r="336">
      <c r="I336" s="3"/>
      <c r="J336" s="3"/>
    </row>
    <row r="337">
      <c r="I337" s="3"/>
      <c r="J337" s="3"/>
    </row>
    <row r="338">
      <c r="I338" s="3"/>
      <c r="J338" s="3"/>
    </row>
    <row r="339">
      <c r="I339" s="3"/>
      <c r="J339" s="3"/>
    </row>
    <row r="340">
      <c r="I340" s="3"/>
      <c r="J340" s="3"/>
    </row>
    <row r="341">
      <c r="I341" s="3"/>
      <c r="J341" s="3"/>
    </row>
    <row r="342">
      <c r="I342" s="3"/>
      <c r="J342" s="3"/>
    </row>
    <row r="343">
      <c r="I343" s="3"/>
      <c r="J343" s="3"/>
    </row>
    <row r="344">
      <c r="I344" s="3"/>
      <c r="J344" s="3"/>
    </row>
    <row r="345">
      <c r="I345" s="3"/>
      <c r="J345" s="3"/>
    </row>
    <row r="346">
      <c r="I346" s="3"/>
      <c r="J346" s="3"/>
    </row>
    <row r="347">
      <c r="I347" s="3"/>
      <c r="J347" s="3"/>
    </row>
    <row r="348">
      <c r="I348" s="3"/>
      <c r="J348" s="3"/>
    </row>
    <row r="349">
      <c r="I349" s="3"/>
      <c r="J349" s="3"/>
    </row>
    <row r="350">
      <c r="I350" s="3"/>
      <c r="J350" s="3"/>
    </row>
    <row r="351">
      <c r="I351" s="3"/>
      <c r="J351" s="3"/>
    </row>
    <row r="352">
      <c r="I352" s="3"/>
      <c r="J352" s="3"/>
    </row>
    <row r="353">
      <c r="I353" s="3"/>
      <c r="J353" s="3"/>
    </row>
    <row r="354">
      <c r="I354" s="3"/>
      <c r="J354" s="3"/>
    </row>
    <row r="355">
      <c r="I355" s="3"/>
      <c r="J355" s="3"/>
    </row>
    <row r="356">
      <c r="I356" s="3"/>
      <c r="J356" s="3"/>
    </row>
    <row r="357">
      <c r="I357" s="3"/>
      <c r="J357" s="3"/>
    </row>
    <row r="358">
      <c r="I358" s="3"/>
      <c r="J358" s="3"/>
    </row>
    <row r="359">
      <c r="I359" s="3"/>
      <c r="J359" s="3"/>
    </row>
    <row r="360">
      <c r="I360" s="3"/>
      <c r="J360" s="3"/>
    </row>
    <row r="361">
      <c r="I361" s="3"/>
      <c r="J361" s="3"/>
    </row>
    <row r="362">
      <c r="I362" s="3"/>
      <c r="J362" s="3"/>
    </row>
    <row r="363">
      <c r="I363" s="3"/>
      <c r="J363" s="3"/>
    </row>
    <row r="364">
      <c r="I364" s="3"/>
      <c r="J364" s="3"/>
    </row>
    <row r="365">
      <c r="I365" s="3"/>
      <c r="J365" s="3"/>
    </row>
    <row r="366">
      <c r="I366" s="3"/>
      <c r="J366" s="3"/>
    </row>
    <row r="367">
      <c r="I367" s="3"/>
      <c r="J367" s="3"/>
    </row>
    <row r="368">
      <c r="I368" s="3"/>
      <c r="J368" s="3"/>
    </row>
    <row r="369">
      <c r="I369" s="3"/>
      <c r="J369" s="3"/>
    </row>
    <row r="370">
      <c r="I370" s="3"/>
      <c r="J370" s="3"/>
    </row>
    <row r="371">
      <c r="I371" s="3"/>
      <c r="J371" s="3"/>
    </row>
    <row r="372">
      <c r="I372" s="3"/>
      <c r="J372" s="3"/>
    </row>
    <row r="373">
      <c r="I373" s="3"/>
      <c r="J373" s="3"/>
    </row>
    <row r="374">
      <c r="I374" s="3"/>
      <c r="J374" s="3"/>
    </row>
    <row r="375">
      <c r="I375" s="3"/>
      <c r="J375" s="3"/>
    </row>
    <row r="376">
      <c r="I376" s="3"/>
      <c r="J376" s="3"/>
    </row>
    <row r="377">
      <c r="I377" s="3"/>
      <c r="J377" s="3"/>
    </row>
    <row r="378">
      <c r="I378" s="3"/>
      <c r="J378" s="3"/>
    </row>
    <row r="379">
      <c r="I379" s="3"/>
      <c r="J379" s="3"/>
    </row>
    <row r="380">
      <c r="I380" s="3"/>
      <c r="J380" s="3"/>
    </row>
    <row r="381">
      <c r="I381" s="3"/>
      <c r="J381" s="3"/>
    </row>
    <row r="382">
      <c r="I382" s="3"/>
      <c r="J382" s="3"/>
    </row>
    <row r="383">
      <c r="I383" s="3"/>
      <c r="J383" s="3"/>
    </row>
    <row r="384">
      <c r="I384" s="3"/>
      <c r="J384" s="3"/>
    </row>
    <row r="385">
      <c r="I385" s="3"/>
      <c r="J385" s="3"/>
    </row>
    <row r="386">
      <c r="I386" s="3"/>
      <c r="J386" s="3"/>
    </row>
    <row r="387">
      <c r="I387" s="3"/>
      <c r="J387" s="3"/>
    </row>
    <row r="388">
      <c r="I388" s="3"/>
      <c r="J388" s="3"/>
    </row>
    <row r="389">
      <c r="I389" s="3"/>
      <c r="J389" s="3"/>
    </row>
    <row r="390">
      <c r="I390" s="3"/>
      <c r="J390" s="3"/>
    </row>
    <row r="391">
      <c r="I391" s="3"/>
      <c r="J391" s="3"/>
    </row>
    <row r="392">
      <c r="I392" s="3"/>
      <c r="J392" s="3"/>
    </row>
    <row r="393">
      <c r="I393" s="3"/>
      <c r="J393" s="3"/>
    </row>
    <row r="394">
      <c r="I394" s="3"/>
      <c r="J394" s="3"/>
    </row>
    <row r="395">
      <c r="I395" s="3"/>
      <c r="J395" s="3"/>
    </row>
    <row r="396">
      <c r="I396" s="3"/>
      <c r="J396" s="3"/>
    </row>
    <row r="397">
      <c r="I397" s="3"/>
      <c r="J397" s="3"/>
    </row>
    <row r="398">
      <c r="I398" s="3"/>
      <c r="J398" s="3"/>
    </row>
    <row r="399">
      <c r="I399" s="3"/>
      <c r="J399" s="3"/>
    </row>
    <row r="400">
      <c r="I400" s="3"/>
      <c r="J400" s="3"/>
    </row>
    <row r="401">
      <c r="I401" s="3"/>
      <c r="J401" s="3"/>
    </row>
    <row r="402">
      <c r="I402" s="3"/>
      <c r="J402" s="3"/>
    </row>
    <row r="403">
      <c r="I403" s="3"/>
      <c r="J403" s="3"/>
    </row>
    <row r="404">
      <c r="I404" s="3"/>
      <c r="J404" s="3"/>
    </row>
    <row r="405">
      <c r="I405" s="3"/>
      <c r="J405" s="3"/>
    </row>
    <row r="406">
      <c r="I406" s="3"/>
      <c r="J406" s="3"/>
    </row>
    <row r="407">
      <c r="I407" s="3"/>
      <c r="J407" s="3"/>
    </row>
    <row r="408">
      <c r="I408" s="3"/>
      <c r="J408" s="3"/>
    </row>
    <row r="409">
      <c r="I409" s="3"/>
      <c r="J409" s="3"/>
    </row>
    <row r="410">
      <c r="I410" s="3"/>
      <c r="J410" s="3"/>
    </row>
    <row r="411">
      <c r="I411" s="3"/>
      <c r="J411" s="3"/>
    </row>
    <row r="412">
      <c r="I412" s="3"/>
      <c r="J412" s="3"/>
    </row>
    <row r="413">
      <c r="I413" s="3"/>
      <c r="J413" s="3"/>
    </row>
    <row r="414">
      <c r="I414" s="3"/>
      <c r="J414" s="3"/>
    </row>
    <row r="415">
      <c r="I415" s="3"/>
      <c r="J415" s="3"/>
    </row>
    <row r="416">
      <c r="I416" s="3"/>
      <c r="J416" s="3"/>
    </row>
    <row r="417">
      <c r="I417" s="3"/>
      <c r="J417" s="3"/>
    </row>
    <row r="418">
      <c r="I418" s="3"/>
      <c r="J418" s="3"/>
    </row>
    <row r="419">
      <c r="I419" s="3"/>
      <c r="J419" s="3"/>
    </row>
    <row r="420">
      <c r="I420" s="3"/>
      <c r="J420" s="3"/>
    </row>
    <row r="421">
      <c r="I421" s="3"/>
      <c r="J421" s="3"/>
    </row>
    <row r="422">
      <c r="I422" s="3"/>
      <c r="J422" s="3"/>
    </row>
    <row r="423">
      <c r="I423" s="3"/>
      <c r="J423" s="3"/>
    </row>
    <row r="424">
      <c r="I424" s="3"/>
      <c r="J424" s="3"/>
    </row>
    <row r="425">
      <c r="I425" s="3"/>
      <c r="J425" s="3"/>
    </row>
    <row r="426">
      <c r="I426" s="3"/>
      <c r="J426" s="3"/>
    </row>
    <row r="427">
      <c r="I427" s="3"/>
      <c r="J427" s="3"/>
    </row>
    <row r="428">
      <c r="I428" s="3"/>
      <c r="J428" s="3"/>
    </row>
    <row r="429">
      <c r="I429" s="3"/>
      <c r="J429" s="3"/>
    </row>
    <row r="430">
      <c r="I430" s="3"/>
      <c r="J430" s="3"/>
    </row>
    <row r="431">
      <c r="I431" s="3"/>
      <c r="J431" s="3"/>
    </row>
    <row r="432">
      <c r="I432" s="3"/>
      <c r="J432" s="3"/>
    </row>
    <row r="433">
      <c r="I433" s="3"/>
      <c r="J433" s="3"/>
    </row>
    <row r="434">
      <c r="I434" s="3"/>
      <c r="J434" s="3"/>
    </row>
    <row r="435">
      <c r="I435" s="3"/>
      <c r="J435" s="3"/>
    </row>
    <row r="436">
      <c r="I436" s="3"/>
      <c r="J436" s="3"/>
    </row>
    <row r="437">
      <c r="I437" s="3"/>
      <c r="J437" s="3"/>
    </row>
    <row r="438">
      <c r="I438" s="3"/>
      <c r="J438" s="3"/>
    </row>
    <row r="439">
      <c r="I439" s="3"/>
      <c r="J439" s="3"/>
    </row>
    <row r="440">
      <c r="I440" s="3"/>
      <c r="J440" s="3"/>
    </row>
    <row r="441">
      <c r="I441" s="3"/>
      <c r="J441" s="3"/>
    </row>
    <row r="442">
      <c r="I442" s="3"/>
      <c r="J442" s="3"/>
    </row>
    <row r="443">
      <c r="I443" s="3"/>
      <c r="J443" s="3"/>
    </row>
    <row r="444">
      <c r="I444" s="3"/>
      <c r="J444" s="3"/>
    </row>
    <row r="445">
      <c r="I445" s="3"/>
      <c r="J445" s="3"/>
    </row>
    <row r="446">
      <c r="I446" s="3"/>
      <c r="J446" s="3"/>
    </row>
    <row r="447">
      <c r="I447" s="3"/>
      <c r="J447" s="3"/>
    </row>
    <row r="448">
      <c r="I448" s="3"/>
      <c r="J448" s="3"/>
    </row>
    <row r="449">
      <c r="I449" s="3"/>
      <c r="J449" s="3"/>
    </row>
    <row r="450">
      <c r="I450" s="3"/>
      <c r="J450" s="3"/>
    </row>
    <row r="451">
      <c r="I451" s="3"/>
      <c r="J451" s="3"/>
    </row>
    <row r="452">
      <c r="I452" s="3"/>
      <c r="J452" s="3"/>
    </row>
    <row r="453">
      <c r="I453" s="3"/>
      <c r="J453" s="3"/>
    </row>
    <row r="454">
      <c r="I454" s="3"/>
      <c r="J454" s="3"/>
    </row>
    <row r="455">
      <c r="I455" s="3"/>
      <c r="J455" s="3"/>
    </row>
    <row r="456">
      <c r="I456" s="3"/>
      <c r="J456" s="3"/>
    </row>
    <row r="457">
      <c r="I457" s="3"/>
      <c r="J457" s="3"/>
    </row>
    <row r="458">
      <c r="I458" s="3"/>
      <c r="J458" s="3"/>
    </row>
    <row r="459">
      <c r="I459" s="3"/>
      <c r="J459" s="3"/>
    </row>
    <row r="460">
      <c r="I460" s="3"/>
      <c r="J460" s="3"/>
    </row>
    <row r="461">
      <c r="I461" s="3"/>
      <c r="J461" s="3"/>
    </row>
    <row r="462">
      <c r="I462" s="3"/>
      <c r="J462" s="3"/>
    </row>
    <row r="463">
      <c r="I463" s="3"/>
      <c r="J463" s="3"/>
    </row>
    <row r="464">
      <c r="I464" s="3"/>
      <c r="J464" s="3"/>
    </row>
    <row r="465">
      <c r="I465" s="3"/>
      <c r="J465" s="3"/>
    </row>
    <row r="466">
      <c r="I466" s="3"/>
      <c r="J466" s="3"/>
    </row>
    <row r="467">
      <c r="I467" s="3"/>
      <c r="J467" s="3"/>
    </row>
    <row r="468">
      <c r="I468" s="3"/>
      <c r="J468" s="3"/>
    </row>
    <row r="469">
      <c r="I469" s="3"/>
      <c r="J469" s="3"/>
    </row>
    <row r="470">
      <c r="I470" s="3"/>
      <c r="J470" s="3"/>
    </row>
    <row r="471">
      <c r="I471" s="3"/>
      <c r="J471" s="3"/>
    </row>
    <row r="472">
      <c r="I472" s="3"/>
      <c r="J472" s="3"/>
    </row>
    <row r="473">
      <c r="I473" s="3"/>
      <c r="J473" s="3"/>
    </row>
    <row r="474">
      <c r="I474" s="3"/>
      <c r="J474" s="3"/>
    </row>
    <row r="475">
      <c r="I475" s="3"/>
      <c r="J475" s="3"/>
    </row>
    <row r="476">
      <c r="I476" s="3"/>
      <c r="J476" s="3"/>
    </row>
    <row r="477">
      <c r="I477" s="3"/>
      <c r="J477" s="3"/>
    </row>
    <row r="478">
      <c r="I478" s="3"/>
      <c r="J478" s="3"/>
    </row>
    <row r="479">
      <c r="I479" s="3"/>
      <c r="J479" s="3"/>
    </row>
    <row r="480">
      <c r="I480" s="3"/>
      <c r="J480" s="3"/>
    </row>
    <row r="481">
      <c r="I481" s="3"/>
      <c r="J481" s="3"/>
    </row>
    <row r="482">
      <c r="I482" s="3"/>
      <c r="J482" s="3"/>
    </row>
    <row r="483">
      <c r="I483" s="3"/>
      <c r="J483" s="3"/>
    </row>
    <row r="484">
      <c r="I484" s="3"/>
      <c r="J484" s="3"/>
    </row>
    <row r="485">
      <c r="I485" s="3"/>
      <c r="J485" s="3"/>
    </row>
    <row r="486">
      <c r="I486" s="3"/>
      <c r="J486" s="3"/>
    </row>
    <row r="487">
      <c r="I487" s="3"/>
      <c r="J487" s="3"/>
    </row>
    <row r="488">
      <c r="I488" s="3"/>
      <c r="J488" s="3"/>
    </row>
    <row r="489">
      <c r="I489" s="3"/>
      <c r="J489" s="3"/>
    </row>
    <row r="490">
      <c r="I490" s="3"/>
      <c r="J490" s="3"/>
    </row>
    <row r="491">
      <c r="I491" s="3"/>
      <c r="J491" s="3"/>
    </row>
    <row r="492">
      <c r="I492" s="3"/>
      <c r="J492" s="3"/>
    </row>
    <row r="493">
      <c r="I493" s="3"/>
      <c r="J493" s="3"/>
    </row>
    <row r="494">
      <c r="I494" s="3"/>
      <c r="J494" s="3"/>
    </row>
    <row r="495">
      <c r="I495" s="3"/>
      <c r="J495" s="3"/>
    </row>
    <row r="496">
      <c r="I496" s="3"/>
      <c r="J496" s="3"/>
    </row>
    <row r="497">
      <c r="I497" s="3"/>
      <c r="J497" s="3"/>
    </row>
    <row r="498">
      <c r="I498" s="3"/>
      <c r="J498" s="3"/>
    </row>
    <row r="499">
      <c r="I499" s="3"/>
      <c r="J499" s="3"/>
    </row>
    <row r="500">
      <c r="I500" s="3"/>
      <c r="J500" s="3"/>
    </row>
    <row r="501">
      <c r="I501" s="3"/>
      <c r="J501" s="3"/>
    </row>
    <row r="502">
      <c r="I502" s="3"/>
      <c r="J502" s="3"/>
    </row>
    <row r="503">
      <c r="I503" s="3"/>
      <c r="J503" s="3"/>
    </row>
    <row r="504">
      <c r="I504" s="3"/>
      <c r="J504" s="3"/>
    </row>
    <row r="505">
      <c r="I505" s="3"/>
      <c r="J505" s="3"/>
    </row>
    <row r="506">
      <c r="I506" s="3"/>
      <c r="J506" s="3"/>
    </row>
    <row r="507">
      <c r="I507" s="3"/>
      <c r="J507" s="3"/>
    </row>
    <row r="508">
      <c r="I508" s="3"/>
      <c r="J508" s="3"/>
    </row>
    <row r="509">
      <c r="I509" s="3"/>
      <c r="J509" s="3"/>
    </row>
    <row r="510">
      <c r="I510" s="3"/>
      <c r="J510" s="3"/>
    </row>
    <row r="511">
      <c r="I511" s="3"/>
      <c r="J511" s="3"/>
    </row>
    <row r="512">
      <c r="I512" s="3"/>
      <c r="J512" s="3"/>
    </row>
    <row r="513">
      <c r="I513" s="3"/>
      <c r="J513" s="3"/>
    </row>
    <row r="514">
      <c r="I514" s="3"/>
      <c r="J514" s="3"/>
    </row>
    <row r="515">
      <c r="I515" s="3"/>
      <c r="J515" s="3"/>
    </row>
    <row r="516">
      <c r="I516" s="3"/>
      <c r="J516" s="3"/>
    </row>
    <row r="517">
      <c r="I517" s="3"/>
      <c r="J517" s="3"/>
    </row>
    <row r="518">
      <c r="I518" s="3"/>
      <c r="J518" s="3"/>
    </row>
    <row r="519">
      <c r="I519" s="3"/>
      <c r="J519" s="3"/>
    </row>
    <row r="520">
      <c r="I520" s="3"/>
      <c r="J520" s="3"/>
    </row>
    <row r="521">
      <c r="I521" s="3"/>
      <c r="J521" s="3"/>
    </row>
    <row r="522">
      <c r="I522" s="3"/>
      <c r="J522" s="3"/>
    </row>
    <row r="523">
      <c r="I523" s="3"/>
      <c r="J523" s="3"/>
    </row>
    <row r="524">
      <c r="I524" s="3"/>
      <c r="J524" s="3"/>
    </row>
    <row r="525">
      <c r="I525" s="3"/>
      <c r="J525" s="3"/>
    </row>
    <row r="526">
      <c r="I526" s="3"/>
      <c r="J526" s="3"/>
    </row>
    <row r="527">
      <c r="I527" s="3"/>
      <c r="J527" s="3"/>
    </row>
    <row r="528">
      <c r="I528" s="3"/>
      <c r="J528" s="3"/>
    </row>
    <row r="529">
      <c r="I529" s="3"/>
      <c r="J529" s="3"/>
    </row>
    <row r="530">
      <c r="I530" s="3"/>
      <c r="J530" s="3"/>
    </row>
    <row r="531">
      <c r="I531" s="3"/>
      <c r="J531" s="3"/>
    </row>
    <row r="532">
      <c r="I532" s="3"/>
      <c r="J532" s="3"/>
    </row>
    <row r="533">
      <c r="I533" s="3"/>
      <c r="J533" s="3"/>
    </row>
    <row r="534">
      <c r="I534" s="3"/>
      <c r="J534" s="3"/>
    </row>
    <row r="535">
      <c r="I535" s="3"/>
      <c r="J535" s="3"/>
    </row>
    <row r="536">
      <c r="I536" s="3"/>
      <c r="J536" s="3"/>
    </row>
    <row r="537">
      <c r="I537" s="3"/>
      <c r="J537" s="3"/>
    </row>
    <row r="538">
      <c r="I538" s="3"/>
      <c r="J538" s="3"/>
    </row>
    <row r="539">
      <c r="I539" s="3"/>
      <c r="J539" s="3"/>
    </row>
    <row r="540">
      <c r="I540" s="3"/>
      <c r="J540" s="3"/>
    </row>
    <row r="541">
      <c r="I541" s="3"/>
      <c r="J541" s="3"/>
    </row>
    <row r="542">
      <c r="I542" s="3"/>
      <c r="J542" s="3"/>
    </row>
    <row r="543">
      <c r="I543" s="3"/>
      <c r="J543" s="3"/>
    </row>
    <row r="544">
      <c r="I544" s="3"/>
      <c r="J544" s="3"/>
    </row>
    <row r="545">
      <c r="I545" s="3"/>
      <c r="J545" s="3"/>
    </row>
    <row r="546">
      <c r="I546" s="3"/>
      <c r="J546" s="3"/>
    </row>
    <row r="547">
      <c r="I547" s="3"/>
      <c r="J547" s="3"/>
    </row>
    <row r="548">
      <c r="I548" s="3"/>
      <c r="J548" s="3"/>
    </row>
    <row r="549">
      <c r="I549" s="3"/>
      <c r="J549" s="3"/>
    </row>
    <row r="550">
      <c r="I550" s="3"/>
      <c r="J550" s="3"/>
    </row>
    <row r="551">
      <c r="I551" s="3"/>
      <c r="J551" s="3"/>
    </row>
    <row r="552">
      <c r="I552" s="3"/>
      <c r="J552" s="3"/>
    </row>
    <row r="553">
      <c r="I553" s="3"/>
      <c r="J553" s="3"/>
    </row>
    <row r="554">
      <c r="I554" s="3"/>
      <c r="J554" s="3"/>
    </row>
    <row r="555">
      <c r="I555" s="3"/>
      <c r="J555" s="3"/>
    </row>
    <row r="556">
      <c r="I556" s="3"/>
      <c r="J556" s="3"/>
    </row>
    <row r="557">
      <c r="I557" s="3"/>
      <c r="J557" s="3"/>
    </row>
    <row r="558">
      <c r="I558" s="3"/>
      <c r="J558" s="3"/>
    </row>
    <row r="559">
      <c r="I559" s="3"/>
      <c r="J559" s="3"/>
    </row>
    <row r="560">
      <c r="I560" s="3"/>
      <c r="J560" s="3"/>
    </row>
    <row r="561">
      <c r="I561" s="3"/>
      <c r="J561" s="3"/>
    </row>
    <row r="562">
      <c r="I562" s="3"/>
      <c r="J562" s="3"/>
    </row>
    <row r="563">
      <c r="I563" s="3"/>
      <c r="J563" s="3"/>
    </row>
    <row r="564">
      <c r="I564" s="3"/>
      <c r="J564" s="3"/>
    </row>
    <row r="565">
      <c r="I565" s="3"/>
      <c r="J565" s="3"/>
    </row>
    <row r="566">
      <c r="I566" s="3"/>
      <c r="J566" s="3"/>
    </row>
    <row r="567">
      <c r="I567" s="3"/>
      <c r="J567" s="3"/>
    </row>
    <row r="568">
      <c r="I568" s="3"/>
      <c r="J568" s="3"/>
    </row>
    <row r="569">
      <c r="I569" s="3"/>
      <c r="J569" s="3"/>
    </row>
    <row r="570">
      <c r="I570" s="3"/>
      <c r="J570" s="3"/>
    </row>
    <row r="571">
      <c r="I571" s="3"/>
      <c r="J571" s="3"/>
    </row>
    <row r="572">
      <c r="I572" s="3"/>
      <c r="J572" s="3"/>
    </row>
    <row r="573">
      <c r="I573" s="3"/>
      <c r="J573" s="3"/>
    </row>
    <row r="574">
      <c r="I574" s="3"/>
      <c r="J574" s="3"/>
    </row>
    <row r="575">
      <c r="I575" s="3"/>
      <c r="J575" s="3"/>
    </row>
    <row r="576">
      <c r="I576" s="3"/>
      <c r="J576" s="3"/>
    </row>
    <row r="577">
      <c r="I577" s="3"/>
      <c r="J577" s="3"/>
    </row>
    <row r="578">
      <c r="I578" s="3"/>
      <c r="J578" s="3"/>
    </row>
    <row r="579">
      <c r="I579" s="3"/>
      <c r="J579" s="3"/>
    </row>
    <row r="580">
      <c r="I580" s="3"/>
      <c r="J580" s="3"/>
    </row>
    <row r="581">
      <c r="I581" s="3"/>
      <c r="J581" s="3"/>
    </row>
    <row r="582">
      <c r="I582" s="3"/>
      <c r="J582" s="3"/>
    </row>
    <row r="583">
      <c r="I583" s="3"/>
      <c r="J583" s="3"/>
    </row>
    <row r="584">
      <c r="I584" s="3"/>
      <c r="J584" s="3"/>
    </row>
    <row r="585">
      <c r="I585" s="3"/>
      <c r="J585" s="3"/>
    </row>
    <row r="586">
      <c r="I586" s="3"/>
      <c r="J586" s="3"/>
    </row>
    <row r="587">
      <c r="I587" s="3"/>
      <c r="J587" s="3"/>
    </row>
    <row r="588">
      <c r="I588" s="3"/>
      <c r="J588" s="3"/>
    </row>
    <row r="589">
      <c r="I589" s="3"/>
      <c r="J589" s="3"/>
    </row>
    <row r="590">
      <c r="I590" s="3"/>
      <c r="J590" s="3"/>
    </row>
    <row r="591">
      <c r="I591" s="3"/>
      <c r="J591" s="3"/>
    </row>
    <row r="592">
      <c r="I592" s="3"/>
      <c r="J592" s="3"/>
    </row>
    <row r="593">
      <c r="I593" s="3"/>
      <c r="J593" s="3"/>
    </row>
    <row r="594">
      <c r="I594" s="3"/>
      <c r="J594" s="3"/>
    </row>
    <row r="595">
      <c r="I595" s="3"/>
      <c r="J595" s="3"/>
    </row>
    <row r="596">
      <c r="I596" s="3"/>
      <c r="J596" s="3"/>
    </row>
    <row r="597">
      <c r="I597" s="3"/>
      <c r="J597" s="3"/>
    </row>
    <row r="598">
      <c r="I598" s="3"/>
      <c r="J598" s="3"/>
    </row>
    <row r="599">
      <c r="I599" s="3"/>
      <c r="J599" s="3"/>
    </row>
    <row r="600">
      <c r="I600" s="3"/>
      <c r="J600" s="3"/>
    </row>
    <row r="601">
      <c r="I601" s="3"/>
      <c r="J601" s="3"/>
    </row>
    <row r="602">
      <c r="I602" s="3"/>
      <c r="J602" s="3"/>
    </row>
    <row r="603">
      <c r="I603" s="3"/>
      <c r="J603" s="3"/>
    </row>
    <row r="604">
      <c r="I604" s="3"/>
      <c r="J604" s="3"/>
    </row>
    <row r="605">
      <c r="I605" s="3"/>
      <c r="J605" s="3"/>
    </row>
    <row r="606">
      <c r="I606" s="3"/>
      <c r="J606" s="3"/>
    </row>
    <row r="607">
      <c r="I607" s="3"/>
      <c r="J607" s="3"/>
    </row>
    <row r="608">
      <c r="I608" s="3"/>
      <c r="J608" s="3"/>
    </row>
    <row r="609">
      <c r="I609" s="3"/>
      <c r="J609" s="3"/>
    </row>
    <row r="610">
      <c r="I610" s="3"/>
      <c r="J610" s="3"/>
    </row>
    <row r="611">
      <c r="I611" s="3"/>
      <c r="J611" s="3"/>
    </row>
    <row r="612">
      <c r="I612" s="3"/>
      <c r="J612" s="3"/>
    </row>
    <row r="613">
      <c r="I613" s="3"/>
      <c r="J613" s="3"/>
    </row>
    <row r="614">
      <c r="I614" s="3"/>
      <c r="J614" s="3"/>
    </row>
    <row r="615">
      <c r="I615" s="3"/>
      <c r="J615" s="3"/>
    </row>
    <row r="616">
      <c r="I616" s="3"/>
      <c r="J616" s="3"/>
    </row>
    <row r="617">
      <c r="I617" s="3"/>
      <c r="J617" s="3"/>
    </row>
    <row r="618">
      <c r="I618" s="3"/>
      <c r="J618" s="3"/>
    </row>
    <row r="619">
      <c r="I619" s="3"/>
      <c r="J619" s="3"/>
    </row>
    <row r="620">
      <c r="I620" s="3"/>
      <c r="J620" s="3"/>
    </row>
    <row r="621">
      <c r="I621" s="3"/>
      <c r="J621" s="3"/>
    </row>
    <row r="622">
      <c r="I622" s="3"/>
      <c r="J622" s="3"/>
    </row>
    <row r="623">
      <c r="I623" s="3"/>
      <c r="J623" s="3"/>
    </row>
    <row r="624">
      <c r="I624" s="3"/>
      <c r="J624" s="3"/>
    </row>
    <row r="625">
      <c r="I625" s="3"/>
      <c r="J625" s="3"/>
    </row>
    <row r="626">
      <c r="I626" s="3"/>
      <c r="J626" s="3"/>
    </row>
    <row r="627">
      <c r="I627" s="3"/>
      <c r="J627" s="3"/>
    </row>
    <row r="628">
      <c r="I628" s="3"/>
      <c r="J628" s="3"/>
    </row>
    <row r="629">
      <c r="I629" s="3"/>
      <c r="J629" s="3"/>
    </row>
    <row r="630">
      <c r="I630" s="3"/>
      <c r="J630" s="3"/>
    </row>
    <row r="631">
      <c r="I631" s="3"/>
      <c r="J631" s="3"/>
    </row>
    <row r="632">
      <c r="I632" s="3"/>
      <c r="J632" s="3"/>
    </row>
    <row r="633">
      <c r="I633" s="3"/>
      <c r="J633" s="3"/>
    </row>
    <row r="634">
      <c r="I634" s="3"/>
      <c r="J634" s="3"/>
    </row>
    <row r="635">
      <c r="I635" s="3"/>
      <c r="J635" s="3"/>
    </row>
    <row r="636">
      <c r="I636" s="3"/>
      <c r="J636" s="3"/>
    </row>
    <row r="637">
      <c r="I637" s="3"/>
      <c r="J637" s="3"/>
    </row>
    <row r="638">
      <c r="I638" s="3"/>
      <c r="J638" s="3"/>
    </row>
    <row r="639">
      <c r="I639" s="3"/>
      <c r="J639" s="3"/>
    </row>
    <row r="640">
      <c r="I640" s="3"/>
      <c r="J640" s="3"/>
    </row>
    <row r="641">
      <c r="I641" s="3"/>
      <c r="J641" s="3"/>
    </row>
    <row r="642">
      <c r="I642" s="3"/>
      <c r="J642" s="3"/>
    </row>
    <row r="643">
      <c r="I643" s="3"/>
      <c r="J643" s="3"/>
    </row>
    <row r="644">
      <c r="I644" s="3"/>
      <c r="J644" s="3"/>
    </row>
    <row r="645">
      <c r="I645" s="3"/>
      <c r="J645" s="3"/>
    </row>
    <row r="646">
      <c r="I646" s="3"/>
      <c r="J646" s="3"/>
    </row>
    <row r="647">
      <c r="I647" s="3"/>
      <c r="J647" s="3"/>
    </row>
    <row r="648">
      <c r="I648" s="3"/>
      <c r="J648" s="3"/>
    </row>
    <row r="649">
      <c r="I649" s="3"/>
      <c r="J649" s="3"/>
    </row>
    <row r="650">
      <c r="I650" s="3"/>
      <c r="J650" s="3"/>
    </row>
    <row r="651">
      <c r="I651" s="3"/>
      <c r="J651" s="3"/>
    </row>
    <row r="652">
      <c r="I652" s="3"/>
      <c r="J652" s="3"/>
    </row>
    <row r="653">
      <c r="I653" s="3"/>
      <c r="J653" s="3"/>
    </row>
    <row r="654">
      <c r="I654" s="3"/>
      <c r="J654" s="3"/>
    </row>
    <row r="655">
      <c r="I655" s="3"/>
      <c r="J655" s="3"/>
    </row>
    <row r="656">
      <c r="I656" s="3"/>
      <c r="J656" s="3"/>
    </row>
    <row r="657">
      <c r="I657" s="3"/>
      <c r="J657" s="3"/>
    </row>
    <row r="658">
      <c r="I658" s="3"/>
      <c r="J658" s="3"/>
    </row>
    <row r="659">
      <c r="I659" s="3"/>
      <c r="J659" s="3"/>
    </row>
    <row r="660">
      <c r="I660" s="3"/>
      <c r="J660" s="3"/>
    </row>
    <row r="661">
      <c r="I661" s="3"/>
      <c r="J661" s="3"/>
    </row>
    <row r="662">
      <c r="I662" s="3"/>
      <c r="J662" s="3"/>
    </row>
    <row r="663">
      <c r="I663" s="3"/>
      <c r="J663" s="3"/>
    </row>
    <row r="664">
      <c r="I664" s="3"/>
      <c r="J664" s="3"/>
    </row>
    <row r="665">
      <c r="I665" s="3"/>
      <c r="J665" s="3"/>
    </row>
    <row r="666">
      <c r="I666" s="3"/>
      <c r="J666" s="3"/>
    </row>
    <row r="667">
      <c r="I667" s="3"/>
      <c r="J667" s="3"/>
    </row>
    <row r="668">
      <c r="I668" s="3"/>
      <c r="J668" s="3"/>
    </row>
    <row r="669">
      <c r="I669" s="3"/>
      <c r="J669" s="3"/>
    </row>
    <row r="670">
      <c r="I670" s="3"/>
      <c r="J670" s="3"/>
    </row>
    <row r="671">
      <c r="I671" s="3"/>
      <c r="J671" s="3"/>
    </row>
    <row r="672">
      <c r="I672" s="3"/>
      <c r="J672" s="3"/>
    </row>
    <row r="673">
      <c r="I673" s="3"/>
      <c r="J673" s="3"/>
    </row>
    <row r="674">
      <c r="I674" s="3"/>
      <c r="J674" s="3"/>
    </row>
    <row r="675">
      <c r="I675" s="3"/>
      <c r="J675" s="3"/>
    </row>
    <row r="676">
      <c r="I676" s="3"/>
      <c r="J676" s="3"/>
    </row>
    <row r="677">
      <c r="I677" s="3"/>
      <c r="J677" s="3"/>
    </row>
    <row r="678">
      <c r="I678" s="3"/>
      <c r="J678" s="3"/>
    </row>
    <row r="679">
      <c r="I679" s="3"/>
      <c r="J679" s="3"/>
    </row>
    <row r="680">
      <c r="I680" s="3"/>
      <c r="J680" s="3"/>
    </row>
    <row r="681">
      <c r="I681" s="3"/>
      <c r="J681" s="3"/>
    </row>
    <row r="682">
      <c r="I682" s="3"/>
      <c r="J682" s="3"/>
    </row>
    <row r="683">
      <c r="I683" s="3"/>
      <c r="J683" s="3"/>
    </row>
    <row r="684">
      <c r="I684" s="3"/>
      <c r="J684" s="3"/>
    </row>
    <row r="685">
      <c r="I685" s="3"/>
      <c r="J685" s="3"/>
    </row>
    <row r="686">
      <c r="I686" s="3"/>
      <c r="J686" s="3"/>
    </row>
    <row r="687">
      <c r="I687" s="3"/>
      <c r="J687" s="3"/>
    </row>
    <row r="688">
      <c r="I688" s="3"/>
      <c r="J688" s="3"/>
    </row>
    <row r="689">
      <c r="I689" s="3"/>
      <c r="J689" s="3"/>
    </row>
    <row r="690">
      <c r="I690" s="3"/>
      <c r="J690" s="3"/>
    </row>
    <row r="691">
      <c r="I691" s="3"/>
      <c r="J691" s="3"/>
    </row>
    <row r="692">
      <c r="I692" s="3"/>
      <c r="J692" s="3"/>
    </row>
    <row r="693">
      <c r="I693" s="3"/>
      <c r="J693" s="3"/>
    </row>
    <row r="694">
      <c r="I694" s="3"/>
      <c r="J694" s="3"/>
    </row>
    <row r="695">
      <c r="I695" s="3"/>
      <c r="J695" s="3"/>
    </row>
    <row r="696">
      <c r="I696" s="3"/>
      <c r="J696" s="3"/>
    </row>
    <row r="697">
      <c r="I697" s="3"/>
      <c r="J697" s="3"/>
    </row>
    <row r="698">
      <c r="I698" s="3"/>
      <c r="J698" s="3"/>
    </row>
    <row r="699">
      <c r="I699" s="3"/>
      <c r="J699" s="3"/>
    </row>
    <row r="700">
      <c r="I700" s="3"/>
      <c r="J700" s="3"/>
    </row>
    <row r="701">
      <c r="I701" s="3"/>
      <c r="J701" s="3"/>
    </row>
    <row r="702">
      <c r="I702" s="3"/>
      <c r="J702" s="3"/>
    </row>
    <row r="703">
      <c r="I703" s="3"/>
      <c r="J703" s="3"/>
    </row>
    <row r="704">
      <c r="I704" s="3"/>
      <c r="J704" s="3"/>
    </row>
    <row r="705">
      <c r="I705" s="3"/>
      <c r="J705" s="3"/>
    </row>
    <row r="706">
      <c r="I706" s="3"/>
      <c r="J706" s="3"/>
    </row>
    <row r="707">
      <c r="I707" s="3"/>
      <c r="J707" s="3"/>
    </row>
    <row r="708">
      <c r="I708" s="3"/>
      <c r="J708" s="3"/>
    </row>
    <row r="709">
      <c r="I709" s="3"/>
      <c r="J709" s="3"/>
    </row>
    <row r="710">
      <c r="I710" s="3"/>
      <c r="J710" s="3"/>
    </row>
    <row r="711">
      <c r="I711" s="3"/>
      <c r="J711" s="3"/>
    </row>
    <row r="712">
      <c r="I712" s="3"/>
      <c r="J712" s="3"/>
    </row>
    <row r="713">
      <c r="I713" s="3"/>
      <c r="J713" s="3"/>
    </row>
    <row r="714">
      <c r="I714" s="3"/>
      <c r="J714" s="3"/>
    </row>
    <row r="715">
      <c r="I715" s="3"/>
      <c r="J715" s="3"/>
    </row>
    <row r="716">
      <c r="I716" s="3"/>
      <c r="J716" s="3"/>
    </row>
    <row r="717">
      <c r="I717" s="3"/>
      <c r="J717" s="3"/>
    </row>
    <row r="718">
      <c r="I718" s="3"/>
      <c r="J718" s="3"/>
    </row>
    <row r="719">
      <c r="I719" s="3"/>
      <c r="J719" s="3"/>
    </row>
    <row r="720">
      <c r="I720" s="3"/>
      <c r="J720" s="3"/>
    </row>
    <row r="721">
      <c r="I721" s="3"/>
      <c r="J721" s="3"/>
    </row>
    <row r="722">
      <c r="I722" s="3"/>
      <c r="J722" s="3"/>
    </row>
    <row r="723">
      <c r="I723" s="3"/>
      <c r="J723" s="3"/>
    </row>
    <row r="724">
      <c r="I724" s="3"/>
      <c r="J724" s="3"/>
    </row>
    <row r="725">
      <c r="I725" s="3"/>
      <c r="J725" s="3"/>
    </row>
    <row r="726">
      <c r="I726" s="3"/>
      <c r="J726" s="3"/>
    </row>
    <row r="727">
      <c r="I727" s="3"/>
      <c r="J727" s="3"/>
    </row>
    <row r="728">
      <c r="I728" s="3"/>
      <c r="J728" s="3"/>
    </row>
    <row r="729">
      <c r="I729" s="3"/>
      <c r="J729" s="3"/>
    </row>
    <row r="730">
      <c r="I730" s="3"/>
      <c r="J730" s="3"/>
    </row>
    <row r="731">
      <c r="I731" s="3"/>
      <c r="J731" s="3"/>
    </row>
    <row r="732">
      <c r="I732" s="3"/>
      <c r="J732" s="3"/>
    </row>
    <row r="733">
      <c r="I733" s="3"/>
      <c r="J733" s="3"/>
    </row>
    <row r="734">
      <c r="I734" s="3"/>
      <c r="J734" s="3"/>
    </row>
    <row r="735">
      <c r="I735" s="3"/>
      <c r="J735" s="3"/>
    </row>
    <row r="736">
      <c r="I736" s="3"/>
      <c r="J736" s="3"/>
    </row>
    <row r="737">
      <c r="I737" s="3"/>
      <c r="J737" s="3"/>
    </row>
    <row r="738">
      <c r="I738" s="3"/>
      <c r="J738" s="3"/>
    </row>
    <row r="739">
      <c r="I739" s="3"/>
      <c r="J739" s="3"/>
    </row>
    <row r="740">
      <c r="I740" s="3"/>
      <c r="J740" s="3"/>
    </row>
    <row r="741">
      <c r="I741" s="3"/>
      <c r="J741" s="3"/>
    </row>
    <row r="742">
      <c r="I742" s="3"/>
      <c r="J742" s="3"/>
    </row>
    <row r="743">
      <c r="I743" s="3"/>
      <c r="J743" s="3"/>
    </row>
    <row r="744">
      <c r="I744" s="3"/>
      <c r="J744" s="3"/>
    </row>
    <row r="745">
      <c r="I745" s="3"/>
      <c r="J745" s="3"/>
    </row>
    <row r="746">
      <c r="I746" s="3"/>
      <c r="J746" s="3"/>
    </row>
    <row r="747">
      <c r="I747" s="3"/>
      <c r="J747" s="3"/>
    </row>
    <row r="748">
      <c r="I748" s="3"/>
      <c r="J748" s="3"/>
    </row>
    <row r="749">
      <c r="I749" s="3"/>
      <c r="J749" s="3"/>
    </row>
    <row r="750">
      <c r="I750" s="3"/>
      <c r="J750" s="3"/>
    </row>
    <row r="751">
      <c r="I751" s="3"/>
      <c r="J751" s="3"/>
    </row>
    <row r="752">
      <c r="I752" s="3"/>
      <c r="J752" s="3"/>
    </row>
    <row r="753">
      <c r="I753" s="3"/>
      <c r="J753" s="3"/>
    </row>
    <row r="754">
      <c r="I754" s="3"/>
      <c r="J754" s="3"/>
    </row>
    <row r="755">
      <c r="I755" s="3"/>
      <c r="J755" s="3"/>
    </row>
    <row r="756">
      <c r="I756" s="3"/>
      <c r="J756" s="3"/>
    </row>
    <row r="757">
      <c r="I757" s="3"/>
      <c r="J757" s="3"/>
    </row>
    <row r="758">
      <c r="I758" s="3"/>
      <c r="J758" s="3"/>
    </row>
    <row r="759">
      <c r="I759" s="3"/>
      <c r="J759" s="3"/>
    </row>
    <row r="760">
      <c r="I760" s="3"/>
      <c r="J760" s="3"/>
    </row>
    <row r="761">
      <c r="I761" s="3"/>
      <c r="J761" s="3"/>
    </row>
    <row r="762">
      <c r="I762" s="3"/>
      <c r="J762" s="3"/>
    </row>
    <row r="763">
      <c r="I763" s="3"/>
      <c r="J763" s="3"/>
    </row>
    <row r="764">
      <c r="I764" s="3"/>
      <c r="J764" s="3"/>
    </row>
    <row r="765">
      <c r="I765" s="3"/>
      <c r="J765" s="3"/>
    </row>
    <row r="766">
      <c r="I766" s="3"/>
      <c r="J766" s="3"/>
    </row>
    <row r="767">
      <c r="I767" s="3"/>
      <c r="J767" s="3"/>
    </row>
    <row r="768">
      <c r="I768" s="3"/>
      <c r="J768" s="3"/>
    </row>
    <row r="769">
      <c r="I769" s="3"/>
      <c r="J769" s="3"/>
    </row>
    <row r="770">
      <c r="I770" s="3"/>
      <c r="J770" s="3"/>
    </row>
    <row r="771">
      <c r="I771" s="3"/>
      <c r="J771" s="3"/>
    </row>
    <row r="772">
      <c r="I772" s="3"/>
      <c r="J772" s="3"/>
    </row>
    <row r="773">
      <c r="I773" s="3"/>
      <c r="J773" s="3"/>
    </row>
    <row r="774">
      <c r="I774" s="3"/>
      <c r="J774" s="3"/>
    </row>
    <row r="775">
      <c r="I775" s="3"/>
      <c r="J775" s="3"/>
    </row>
    <row r="776">
      <c r="I776" s="3"/>
      <c r="J776" s="3"/>
    </row>
    <row r="777">
      <c r="I777" s="3"/>
      <c r="J777" s="3"/>
    </row>
    <row r="778">
      <c r="I778" s="3"/>
      <c r="J778" s="3"/>
    </row>
    <row r="779">
      <c r="I779" s="3"/>
      <c r="J779" s="3"/>
    </row>
    <row r="780">
      <c r="I780" s="3"/>
      <c r="J780" s="3"/>
    </row>
    <row r="781">
      <c r="I781" s="3"/>
      <c r="J781" s="3"/>
    </row>
    <row r="782">
      <c r="I782" s="3"/>
      <c r="J782" s="3"/>
    </row>
    <row r="783">
      <c r="I783" s="3"/>
      <c r="J783" s="3"/>
    </row>
    <row r="784">
      <c r="I784" s="3"/>
      <c r="J784" s="3"/>
    </row>
    <row r="785">
      <c r="I785" s="3"/>
      <c r="J785" s="3"/>
    </row>
    <row r="786">
      <c r="I786" s="3"/>
      <c r="J786" s="3"/>
    </row>
    <row r="787">
      <c r="I787" s="3"/>
      <c r="J787" s="3"/>
    </row>
    <row r="788">
      <c r="I788" s="3"/>
      <c r="J788" s="3"/>
    </row>
    <row r="789">
      <c r="I789" s="3"/>
      <c r="J789" s="3"/>
    </row>
    <row r="790">
      <c r="I790" s="3"/>
      <c r="J790" s="3"/>
    </row>
    <row r="791">
      <c r="I791" s="3"/>
      <c r="J791" s="3"/>
    </row>
    <row r="792">
      <c r="I792" s="3"/>
      <c r="J792" s="3"/>
    </row>
    <row r="793">
      <c r="I793" s="3"/>
      <c r="J793" s="3"/>
    </row>
    <row r="794">
      <c r="I794" s="3"/>
      <c r="J794" s="3"/>
    </row>
    <row r="795">
      <c r="I795" s="3"/>
      <c r="J795" s="3"/>
    </row>
    <row r="796">
      <c r="I796" s="3"/>
      <c r="J796" s="3"/>
    </row>
    <row r="797">
      <c r="I797" s="3"/>
      <c r="J797" s="3"/>
    </row>
    <row r="798">
      <c r="I798" s="3"/>
      <c r="J798" s="3"/>
    </row>
    <row r="799">
      <c r="I799" s="3"/>
      <c r="J799" s="3"/>
    </row>
    <row r="800">
      <c r="I800" s="3"/>
      <c r="J800" s="3"/>
    </row>
    <row r="801">
      <c r="I801" s="3"/>
      <c r="J801" s="3"/>
    </row>
    <row r="802">
      <c r="I802" s="3"/>
      <c r="J802" s="3"/>
    </row>
    <row r="803">
      <c r="I803" s="3"/>
      <c r="J803" s="3"/>
    </row>
    <row r="804">
      <c r="I804" s="3"/>
      <c r="J804" s="3"/>
    </row>
    <row r="805">
      <c r="I805" s="3"/>
      <c r="J805" s="3"/>
    </row>
    <row r="806">
      <c r="I806" s="3"/>
      <c r="J806" s="3"/>
    </row>
    <row r="807">
      <c r="I807" s="3"/>
      <c r="J807" s="3"/>
    </row>
    <row r="808">
      <c r="I808" s="3"/>
      <c r="J808" s="3"/>
    </row>
    <row r="809">
      <c r="I809" s="3"/>
      <c r="J809" s="3"/>
    </row>
    <row r="810">
      <c r="I810" s="3"/>
      <c r="J810" s="3"/>
    </row>
    <row r="811">
      <c r="I811" s="3"/>
      <c r="J811" s="3"/>
    </row>
    <row r="812">
      <c r="I812" s="3"/>
      <c r="J812" s="3"/>
    </row>
    <row r="813">
      <c r="I813" s="3"/>
      <c r="J813" s="3"/>
    </row>
    <row r="814">
      <c r="I814" s="3"/>
      <c r="J814" s="3"/>
    </row>
    <row r="815">
      <c r="I815" s="3"/>
      <c r="J815" s="3"/>
    </row>
    <row r="816">
      <c r="I816" s="3"/>
      <c r="J816" s="3"/>
    </row>
    <row r="817">
      <c r="I817" s="3"/>
      <c r="J817" s="3"/>
    </row>
    <row r="818">
      <c r="I818" s="3"/>
      <c r="J818" s="3"/>
    </row>
    <row r="819">
      <c r="I819" s="3"/>
      <c r="J819" s="3"/>
    </row>
    <row r="820">
      <c r="I820" s="3"/>
      <c r="J820" s="3"/>
    </row>
    <row r="821">
      <c r="I821" s="3"/>
      <c r="J821" s="3"/>
    </row>
    <row r="822">
      <c r="I822" s="3"/>
      <c r="J822" s="3"/>
    </row>
    <row r="823">
      <c r="I823" s="3"/>
      <c r="J823" s="3"/>
    </row>
    <row r="824">
      <c r="I824" s="3"/>
      <c r="J824" s="3"/>
    </row>
    <row r="825">
      <c r="I825" s="3"/>
      <c r="J825" s="3"/>
    </row>
    <row r="826">
      <c r="I826" s="3"/>
      <c r="J826" s="3"/>
    </row>
    <row r="827">
      <c r="I827" s="3"/>
      <c r="J827" s="3"/>
    </row>
    <row r="828">
      <c r="I828" s="3"/>
      <c r="J828" s="3"/>
    </row>
    <row r="829">
      <c r="I829" s="3"/>
      <c r="J829" s="3"/>
    </row>
    <row r="830">
      <c r="I830" s="3"/>
      <c r="J830" s="3"/>
    </row>
    <row r="831">
      <c r="I831" s="3"/>
      <c r="J831" s="3"/>
    </row>
    <row r="832">
      <c r="I832" s="3"/>
      <c r="J832" s="3"/>
    </row>
    <row r="833">
      <c r="I833" s="3"/>
      <c r="J833" s="3"/>
    </row>
    <row r="834">
      <c r="I834" s="3"/>
      <c r="J834" s="3"/>
    </row>
    <row r="835">
      <c r="I835" s="3"/>
      <c r="J835" s="3"/>
    </row>
    <row r="836">
      <c r="I836" s="3"/>
      <c r="J836" s="3"/>
    </row>
    <row r="837">
      <c r="I837" s="3"/>
      <c r="J837" s="3"/>
    </row>
    <row r="838">
      <c r="I838" s="3"/>
      <c r="J838" s="3"/>
    </row>
    <row r="839">
      <c r="I839" s="3"/>
      <c r="J839" s="3"/>
    </row>
    <row r="840">
      <c r="I840" s="3"/>
      <c r="J840" s="3"/>
    </row>
    <row r="841">
      <c r="I841" s="3"/>
      <c r="J841" s="3"/>
    </row>
    <row r="842">
      <c r="I842" s="3"/>
      <c r="J842" s="3"/>
    </row>
    <row r="843">
      <c r="I843" s="3"/>
      <c r="J843" s="3"/>
    </row>
    <row r="844">
      <c r="I844" s="3"/>
      <c r="J844" s="3"/>
    </row>
    <row r="845">
      <c r="I845" s="3"/>
      <c r="J845" s="3"/>
    </row>
    <row r="846">
      <c r="I846" s="3"/>
      <c r="J846" s="3"/>
    </row>
    <row r="847">
      <c r="I847" s="3"/>
      <c r="J847" s="3"/>
    </row>
    <row r="848">
      <c r="I848" s="3"/>
      <c r="J848" s="3"/>
    </row>
    <row r="849">
      <c r="I849" s="3"/>
      <c r="J849" s="3"/>
    </row>
    <row r="850">
      <c r="I850" s="3"/>
      <c r="J850" s="3"/>
    </row>
    <row r="851">
      <c r="I851" s="3"/>
      <c r="J851" s="3"/>
    </row>
    <row r="852">
      <c r="I852" s="3"/>
      <c r="J852" s="3"/>
    </row>
    <row r="853">
      <c r="I853" s="3"/>
      <c r="J853" s="3"/>
    </row>
    <row r="854">
      <c r="I854" s="3"/>
      <c r="J854" s="3"/>
    </row>
    <row r="855">
      <c r="I855" s="3"/>
      <c r="J855" s="3"/>
    </row>
    <row r="856">
      <c r="I856" s="3"/>
      <c r="J856" s="3"/>
    </row>
    <row r="857">
      <c r="I857" s="3"/>
      <c r="J857" s="3"/>
    </row>
    <row r="858">
      <c r="I858" s="3"/>
      <c r="J858" s="3"/>
    </row>
    <row r="859">
      <c r="I859" s="3"/>
      <c r="J859" s="3"/>
    </row>
    <row r="860">
      <c r="I860" s="3"/>
      <c r="J860" s="3"/>
    </row>
    <row r="861">
      <c r="I861" s="3"/>
      <c r="J861" s="3"/>
    </row>
    <row r="862">
      <c r="I862" s="3"/>
      <c r="J862" s="3"/>
    </row>
    <row r="863">
      <c r="I863" s="3"/>
      <c r="J863" s="3"/>
    </row>
    <row r="864">
      <c r="I864" s="3"/>
      <c r="J864" s="3"/>
    </row>
    <row r="865">
      <c r="I865" s="3"/>
      <c r="J865" s="3"/>
    </row>
    <row r="866">
      <c r="I866" s="3"/>
      <c r="J866" s="3"/>
    </row>
    <row r="867">
      <c r="I867" s="3"/>
      <c r="J867" s="3"/>
    </row>
    <row r="868">
      <c r="I868" s="3"/>
      <c r="J868" s="3"/>
    </row>
    <row r="869">
      <c r="I869" s="3"/>
      <c r="J869" s="3"/>
    </row>
    <row r="870">
      <c r="I870" s="3"/>
      <c r="J870" s="3"/>
    </row>
    <row r="871">
      <c r="I871" s="3"/>
      <c r="J871" s="3"/>
    </row>
    <row r="872">
      <c r="I872" s="3"/>
      <c r="J872" s="3"/>
    </row>
    <row r="873">
      <c r="I873" s="3"/>
      <c r="J873" s="3"/>
    </row>
    <row r="874">
      <c r="I874" s="3"/>
      <c r="J874" s="3"/>
    </row>
    <row r="875">
      <c r="I875" s="3"/>
      <c r="J875" s="3"/>
    </row>
    <row r="876">
      <c r="I876" s="3"/>
      <c r="J876" s="3"/>
    </row>
    <row r="877">
      <c r="I877" s="3"/>
      <c r="J877" s="3"/>
    </row>
    <row r="878">
      <c r="I878" s="3"/>
      <c r="J878" s="3"/>
    </row>
    <row r="879">
      <c r="I879" s="3"/>
      <c r="J879" s="3"/>
    </row>
    <row r="880">
      <c r="I880" s="3"/>
      <c r="J880" s="3"/>
    </row>
    <row r="881">
      <c r="I881" s="3"/>
      <c r="J881" s="3"/>
    </row>
    <row r="882">
      <c r="I882" s="3"/>
      <c r="J882" s="3"/>
    </row>
    <row r="883">
      <c r="I883" s="3"/>
      <c r="J883" s="3"/>
    </row>
    <row r="884">
      <c r="I884" s="3"/>
      <c r="J884" s="3"/>
    </row>
    <row r="885">
      <c r="I885" s="3"/>
      <c r="J885" s="3"/>
    </row>
    <row r="886">
      <c r="I886" s="3"/>
      <c r="J886" s="3"/>
    </row>
    <row r="887">
      <c r="I887" s="3"/>
      <c r="J887" s="3"/>
    </row>
    <row r="888">
      <c r="I888" s="3"/>
      <c r="J888" s="3"/>
    </row>
    <row r="889">
      <c r="I889" s="3"/>
      <c r="J889" s="3"/>
    </row>
    <row r="890">
      <c r="I890" s="3"/>
      <c r="J890" s="3"/>
    </row>
    <row r="891">
      <c r="I891" s="3"/>
      <c r="J891" s="3"/>
    </row>
    <row r="892">
      <c r="I892" s="3"/>
      <c r="J892" s="3"/>
    </row>
    <row r="893">
      <c r="I893" s="3"/>
      <c r="J893" s="3"/>
    </row>
    <row r="894">
      <c r="I894" s="3"/>
      <c r="J894" s="3"/>
    </row>
    <row r="895">
      <c r="I895" s="3"/>
      <c r="J895" s="3"/>
    </row>
    <row r="896">
      <c r="I896" s="3"/>
      <c r="J896" s="3"/>
    </row>
    <row r="897">
      <c r="I897" s="3"/>
      <c r="J897" s="3"/>
    </row>
    <row r="898">
      <c r="I898" s="3"/>
      <c r="J898" s="3"/>
    </row>
    <row r="899">
      <c r="I899" s="3"/>
      <c r="J899" s="3"/>
    </row>
    <row r="900">
      <c r="I900" s="3"/>
      <c r="J900" s="3"/>
    </row>
    <row r="901">
      <c r="I901" s="3"/>
      <c r="J901" s="3"/>
    </row>
    <row r="902">
      <c r="I902" s="3"/>
      <c r="J902" s="3"/>
    </row>
    <row r="903">
      <c r="I903" s="3"/>
      <c r="J903" s="3"/>
    </row>
    <row r="904">
      <c r="I904" s="3"/>
      <c r="J904" s="3"/>
    </row>
    <row r="905">
      <c r="I905" s="3"/>
      <c r="J905" s="3"/>
    </row>
    <row r="906">
      <c r="I906" s="3"/>
      <c r="J906" s="3"/>
    </row>
    <row r="907">
      <c r="I907" s="3"/>
      <c r="J907" s="3"/>
    </row>
    <row r="908">
      <c r="I908" s="3"/>
      <c r="J908" s="3"/>
    </row>
    <row r="909">
      <c r="I909" s="3"/>
      <c r="J909" s="3"/>
    </row>
    <row r="910">
      <c r="I910" s="3"/>
      <c r="J910" s="3"/>
    </row>
    <row r="911">
      <c r="I911" s="3"/>
      <c r="J911" s="3"/>
    </row>
    <row r="912">
      <c r="I912" s="3"/>
      <c r="J912" s="3"/>
    </row>
    <row r="913">
      <c r="I913" s="3"/>
      <c r="J913" s="3"/>
    </row>
    <row r="914">
      <c r="I914" s="3"/>
      <c r="J914" s="3"/>
    </row>
    <row r="915">
      <c r="I915" s="3"/>
      <c r="J915" s="3"/>
    </row>
    <row r="916">
      <c r="I916" s="3"/>
      <c r="J916" s="3"/>
    </row>
    <row r="917">
      <c r="I917" s="3"/>
      <c r="J917" s="3"/>
    </row>
    <row r="918">
      <c r="I918" s="3"/>
      <c r="J918" s="3"/>
    </row>
    <row r="919">
      <c r="I919" s="3"/>
      <c r="J919" s="3"/>
    </row>
    <row r="920">
      <c r="I920" s="3"/>
      <c r="J920" s="3"/>
    </row>
    <row r="921">
      <c r="I921" s="3"/>
      <c r="J921" s="3"/>
    </row>
    <row r="922">
      <c r="I922" s="3"/>
      <c r="J922" s="3"/>
    </row>
    <row r="923">
      <c r="I923" s="3"/>
      <c r="J923" s="3"/>
    </row>
    <row r="924">
      <c r="I924" s="3"/>
      <c r="J924" s="3"/>
    </row>
    <row r="925">
      <c r="I925" s="3"/>
      <c r="J925" s="3"/>
    </row>
    <row r="926">
      <c r="I926" s="3"/>
      <c r="J926" s="3"/>
    </row>
    <row r="927">
      <c r="I927" s="3"/>
      <c r="J927" s="3"/>
    </row>
    <row r="928">
      <c r="I928" s="3"/>
      <c r="J928" s="3"/>
    </row>
    <row r="929">
      <c r="I929" s="3"/>
      <c r="J929" s="3"/>
    </row>
    <row r="930">
      <c r="I930" s="3"/>
      <c r="J930" s="3"/>
    </row>
    <row r="931">
      <c r="I931" s="3"/>
      <c r="J931" s="3"/>
    </row>
    <row r="932">
      <c r="I932" s="3"/>
      <c r="J932" s="3"/>
    </row>
    <row r="933">
      <c r="I933" s="3"/>
      <c r="J933" s="3"/>
    </row>
    <row r="934">
      <c r="I934" s="3"/>
      <c r="J934" s="3"/>
    </row>
    <row r="935">
      <c r="I935" s="3"/>
      <c r="J935" s="3"/>
    </row>
    <row r="936">
      <c r="I936" s="3"/>
      <c r="J936" s="3"/>
    </row>
    <row r="937">
      <c r="I937" s="3"/>
      <c r="J937" s="3"/>
    </row>
    <row r="938">
      <c r="I938" s="3"/>
      <c r="J938" s="3"/>
    </row>
    <row r="939">
      <c r="I939" s="3"/>
      <c r="J939" s="3"/>
    </row>
    <row r="940">
      <c r="I940" s="3"/>
      <c r="J940" s="3"/>
    </row>
    <row r="941">
      <c r="I941" s="3"/>
      <c r="J941" s="3"/>
    </row>
    <row r="942">
      <c r="I942" s="3"/>
      <c r="J942" s="3"/>
    </row>
    <row r="943">
      <c r="I943" s="3"/>
      <c r="J943" s="3"/>
    </row>
    <row r="944">
      <c r="I944" s="3"/>
      <c r="J944" s="3"/>
    </row>
    <row r="945">
      <c r="I945" s="3"/>
      <c r="J945" s="3"/>
    </row>
    <row r="946">
      <c r="I946" s="3"/>
      <c r="J946" s="3"/>
    </row>
    <row r="947">
      <c r="I947" s="3"/>
      <c r="J947" s="3"/>
    </row>
    <row r="948">
      <c r="I948" s="3"/>
      <c r="J948" s="3"/>
    </row>
    <row r="949">
      <c r="I949" s="3"/>
      <c r="J949" s="3"/>
    </row>
    <row r="950">
      <c r="I950" s="3"/>
      <c r="J950" s="3"/>
    </row>
    <row r="951">
      <c r="I951" s="3"/>
      <c r="J951" s="3"/>
    </row>
    <row r="952">
      <c r="I952" s="3"/>
      <c r="J952" s="3"/>
    </row>
    <row r="953">
      <c r="I953" s="3"/>
      <c r="J953" s="3"/>
    </row>
    <row r="954">
      <c r="I954" s="3"/>
      <c r="J954" s="3"/>
    </row>
    <row r="955">
      <c r="I955" s="3"/>
      <c r="J955" s="3"/>
    </row>
    <row r="956">
      <c r="I956" s="3"/>
      <c r="J956" s="3"/>
    </row>
    <row r="957">
      <c r="I957" s="3"/>
      <c r="J957" s="3"/>
    </row>
    <row r="958">
      <c r="I958" s="3"/>
      <c r="J958" s="3"/>
    </row>
    <row r="959">
      <c r="I959" s="3"/>
      <c r="J959" s="3"/>
    </row>
    <row r="960">
      <c r="I960" s="3"/>
      <c r="J960" s="3"/>
    </row>
    <row r="961">
      <c r="I961" s="3"/>
      <c r="J961" s="3"/>
    </row>
    <row r="962">
      <c r="I962" s="3"/>
      <c r="J962" s="3"/>
    </row>
    <row r="963">
      <c r="I963" s="3"/>
      <c r="J963" s="3"/>
    </row>
    <row r="964">
      <c r="I964" s="3"/>
      <c r="J964" s="3"/>
    </row>
    <row r="965">
      <c r="I965" s="3"/>
      <c r="J965" s="3"/>
    </row>
    <row r="966">
      <c r="I966" s="3"/>
      <c r="J966" s="3"/>
    </row>
    <row r="967">
      <c r="I967" s="3"/>
      <c r="J967" s="3"/>
    </row>
    <row r="968">
      <c r="I968" s="3"/>
      <c r="J968" s="3"/>
    </row>
    <row r="969">
      <c r="I969" s="3"/>
      <c r="J969" s="3"/>
    </row>
    <row r="970">
      <c r="I970" s="3"/>
      <c r="J970" s="3"/>
    </row>
    <row r="971">
      <c r="I971" s="3"/>
      <c r="J971" s="3"/>
    </row>
    <row r="972">
      <c r="I972" s="3"/>
      <c r="J972" s="3"/>
    </row>
    <row r="973">
      <c r="I973" s="3"/>
      <c r="J973" s="3"/>
    </row>
    <row r="974">
      <c r="I974" s="3"/>
      <c r="J974" s="3"/>
    </row>
    <row r="975">
      <c r="I975" s="3"/>
      <c r="J975" s="3"/>
    </row>
    <row r="976">
      <c r="I976" s="3"/>
      <c r="J976" s="3"/>
    </row>
    <row r="977">
      <c r="I977" s="3"/>
      <c r="J977" s="3"/>
    </row>
    <row r="978">
      <c r="I978" s="3"/>
      <c r="J978" s="3"/>
    </row>
    <row r="979">
      <c r="I979" s="3"/>
      <c r="J979" s="3"/>
    </row>
    <row r="980">
      <c r="I980" s="3"/>
      <c r="J980" s="3"/>
    </row>
    <row r="981">
      <c r="I981" s="3"/>
      <c r="J981" s="3"/>
    </row>
    <row r="982">
      <c r="I982" s="3"/>
      <c r="J982" s="3"/>
    </row>
    <row r="983">
      <c r="I983" s="3"/>
      <c r="J983" s="3"/>
    </row>
    <row r="984">
      <c r="I984" s="3"/>
      <c r="J984" s="3"/>
    </row>
    <row r="985">
      <c r="I985" s="3"/>
      <c r="J985" s="3"/>
    </row>
    <row r="986">
      <c r="I986" s="3"/>
      <c r="J986" s="3"/>
    </row>
    <row r="987">
      <c r="I987" s="3"/>
      <c r="J987" s="3"/>
    </row>
    <row r="988">
      <c r="I988" s="3"/>
      <c r="J988" s="3"/>
    </row>
    <row r="989">
      <c r="I989" s="3"/>
      <c r="J989" s="3"/>
    </row>
    <row r="990">
      <c r="I990" s="3"/>
      <c r="J990" s="3"/>
    </row>
    <row r="991">
      <c r="I991" s="3"/>
      <c r="J991" s="3"/>
    </row>
    <row r="992">
      <c r="I992" s="3"/>
      <c r="J992" s="3"/>
    </row>
    <row r="993">
      <c r="I993" s="3"/>
      <c r="J993" s="3"/>
    </row>
    <row r="994">
      <c r="I994" s="3"/>
      <c r="J994" s="3"/>
    </row>
    <row r="995">
      <c r="I995" s="3"/>
      <c r="J995" s="3"/>
    </row>
    <row r="996">
      <c r="I996" s="3"/>
      <c r="J996" s="3"/>
    </row>
    <row r="997">
      <c r="I997" s="3"/>
      <c r="J997" s="3"/>
    </row>
    <row r="998">
      <c r="I998" s="3"/>
      <c r="J998" s="3"/>
    </row>
    <row r="999">
      <c r="I999" s="3"/>
      <c r="J999" s="3"/>
    </row>
    <row r="1000">
      <c r="I1000" s="3"/>
      <c r="J1000" s="3"/>
    </row>
    <row r="1001">
      <c r="I1001" s="3"/>
      <c r="J1001" s="3"/>
    </row>
    <row r="1002">
      <c r="I1002" s="3"/>
      <c r="J1002" s="3"/>
    </row>
  </sheetData>
  <autoFilter ref="$A$4:$F$22">
    <sortState ref="A4:F22">
      <sortCondition ref="B4:B22"/>
    </sortState>
  </autoFil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13"/>
    <col customWidth="1" min="2" max="2" width="18.75"/>
    <col customWidth="1" min="3" max="3" width="11.13"/>
    <col customWidth="1" min="4" max="4" width="11.75"/>
    <col customWidth="1" min="5" max="5" width="7.38"/>
    <col customWidth="1" min="6" max="6" width="11.13"/>
  </cols>
  <sheetData>
    <row r="1">
      <c r="A1" s="9" t="s">
        <v>82</v>
      </c>
      <c r="B1" s="10" t="s">
        <v>239</v>
      </c>
      <c r="C1" s="10"/>
      <c r="D1" s="10"/>
      <c r="E1" s="10"/>
      <c r="F1" s="10"/>
    </row>
    <row r="2">
      <c r="A2" s="9" t="s">
        <v>84</v>
      </c>
      <c r="B2" s="10" t="s">
        <v>85</v>
      </c>
      <c r="C2" s="12"/>
      <c r="D2" s="12"/>
      <c r="E2" s="12"/>
      <c r="F2" s="12"/>
    </row>
    <row r="3">
      <c r="A3" s="9" t="s">
        <v>100</v>
      </c>
      <c r="B3" s="10" t="s">
        <v>101</v>
      </c>
      <c r="C3" s="10"/>
      <c r="D3" s="10"/>
      <c r="E3" s="10"/>
      <c r="F3" s="10"/>
    </row>
    <row r="4">
      <c r="A4" s="9" t="s">
        <v>104</v>
      </c>
      <c r="B4" s="5">
        <v>6.0</v>
      </c>
    </row>
    <row r="5">
      <c r="A5" s="9" t="s">
        <v>108</v>
      </c>
      <c r="B5" s="69">
        <v>850.0</v>
      </c>
    </row>
    <row r="6">
      <c r="A6" s="9" t="s">
        <v>110</v>
      </c>
      <c r="B6" s="22">
        <v>45125.0</v>
      </c>
    </row>
    <row r="9">
      <c r="A9" s="25"/>
      <c r="B9" s="9" t="s">
        <v>114</v>
      </c>
      <c r="C9" s="9" t="s">
        <v>263</v>
      </c>
      <c r="D9" s="9" t="s">
        <v>264</v>
      </c>
      <c r="E9" s="9" t="s">
        <v>265</v>
      </c>
      <c r="F9" s="48"/>
      <c r="G9" s="9"/>
      <c r="H9" s="9"/>
      <c r="I9" s="9" t="s">
        <v>378</v>
      </c>
      <c r="J9" s="9" t="s">
        <v>379</v>
      </c>
      <c r="K9" s="9" t="s">
        <v>380</v>
      </c>
      <c r="L9" s="9" t="s">
        <v>381</v>
      </c>
    </row>
    <row r="10">
      <c r="A10" s="9">
        <v>1.0</v>
      </c>
      <c r="B10" s="4" t="s">
        <v>5</v>
      </c>
      <c r="C10" s="4" t="s">
        <v>121</v>
      </c>
      <c r="D10" s="33">
        <f t="shared" ref="D10:D24" si="1">$B$5/15*1.0475</f>
        <v>59.35833333</v>
      </c>
      <c r="E10" s="5" t="s">
        <v>267</v>
      </c>
      <c r="G10" s="5" t="s">
        <v>463</v>
      </c>
      <c r="H10" s="34">
        <v>45125.0</v>
      </c>
      <c r="I10" s="5" t="s">
        <v>168</v>
      </c>
    </row>
    <row r="11">
      <c r="A11" s="9">
        <v>2.0</v>
      </c>
      <c r="B11" s="4" t="s">
        <v>123</v>
      </c>
      <c r="C11" s="4" t="s">
        <v>121</v>
      </c>
      <c r="D11" s="33">
        <f t="shared" si="1"/>
        <v>59.35833333</v>
      </c>
      <c r="E11" s="5" t="s">
        <v>267</v>
      </c>
      <c r="G11" s="5" t="s">
        <v>464</v>
      </c>
      <c r="H11" s="34">
        <v>45132.0</v>
      </c>
      <c r="I11" s="5" t="s">
        <v>168</v>
      </c>
    </row>
    <row r="12">
      <c r="A12" s="9">
        <v>3.0</v>
      </c>
      <c r="B12" s="4" t="s">
        <v>11</v>
      </c>
      <c r="C12" s="4" t="s">
        <v>121</v>
      </c>
      <c r="D12" s="33">
        <f t="shared" si="1"/>
        <v>59.35833333</v>
      </c>
      <c r="G12" s="5" t="s">
        <v>465</v>
      </c>
      <c r="H12" s="34">
        <v>45139.0</v>
      </c>
    </row>
    <row r="13">
      <c r="A13" s="9">
        <v>4.0</v>
      </c>
      <c r="B13" s="4" t="s">
        <v>17</v>
      </c>
      <c r="C13" s="4" t="s">
        <v>121</v>
      </c>
      <c r="D13" s="33">
        <f t="shared" si="1"/>
        <v>59.35833333</v>
      </c>
      <c r="E13" s="5" t="s">
        <v>267</v>
      </c>
      <c r="G13" s="5" t="s">
        <v>466</v>
      </c>
      <c r="H13" s="34">
        <v>45146.0</v>
      </c>
      <c r="K13" s="4"/>
    </row>
    <row r="14">
      <c r="A14" s="9">
        <v>5.0</v>
      </c>
      <c r="B14" s="4" t="s">
        <v>23</v>
      </c>
      <c r="C14" s="4" t="s">
        <v>121</v>
      </c>
      <c r="D14" s="33">
        <f t="shared" si="1"/>
        <v>59.35833333</v>
      </c>
      <c r="E14" s="5" t="s">
        <v>267</v>
      </c>
      <c r="G14" s="5" t="s">
        <v>467</v>
      </c>
      <c r="H14" s="34">
        <v>45153.0</v>
      </c>
      <c r="I14" s="5" t="s">
        <v>355</v>
      </c>
      <c r="J14" s="4"/>
    </row>
    <row r="15">
      <c r="A15" s="9">
        <v>6.0</v>
      </c>
      <c r="B15" s="4" t="s">
        <v>27</v>
      </c>
      <c r="C15" s="4" t="s">
        <v>121</v>
      </c>
      <c r="D15" s="33">
        <f t="shared" si="1"/>
        <v>59.35833333</v>
      </c>
      <c r="E15" s="5" t="s">
        <v>267</v>
      </c>
      <c r="G15" s="5" t="s">
        <v>468</v>
      </c>
      <c r="H15" s="34">
        <v>45160.0</v>
      </c>
      <c r="I15" s="4" t="s">
        <v>352</v>
      </c>
      <c r="J15" s="4" t="s">
        <v>355</v>
      </c>
    </row>
    <row r="16">
      <c r="A16" s="9">
        <v>7.0</v>
      </c>
      <c r="B16" s="4" t="s">
        <v>29</v>
      </c>
      <c r="C16" s="4" t="s">
        <v>121</v>
      </c>
      <c r="D16" s="33">
        <f t="shared" si="1"/>
        <v>59.35833333</v>
      </c>
      <c r="E16" s="5" t="s">
        <v>267</v>
      </c>
      <c r="G16" s="5"/>
      <c r="H16" s="5"/>
    </row>
    <row r="17">
      <c r="A17" s="9">
        <v>8.0</v>
      </c>
      <c r="B17" s="4" t="s">
        <v>31</v>
      </c>
      <c r="C17" s="4" t="s">
        <v>121</v>
      </c>
      <c r="D17" s="33">
        <f t="shared" si="1"/>
        <v>59.35833333</v>
      </c>
      <c r="E17" s="5" t="s">
        <v>267</v>
      </c>
      <c r="G17" s="5"/>
      <c r="H17" s="5"/>
      <c r="K17" s="4"/>
    </row>
    <row r="18">
      <c r="A18" s="9">
        <v>9.0</v>
      </c>
      <c r="B18" s="4" t="s">
        <v>80</v>
      </c>
      <c r="C18" s="4" t="s">
        <v>121</v>
      </c>
      <c r="D18" s="33">
        <f t="shared" si="1"/>
        <v>59.35833333</v>
      </c>
      <c r="E18" s="5" t="s">
        <v>267</v>
      </c>
      <c r="G18" s="5"/>
      <c r="H18" s="5"/>
      <c r="J18" s="4"/>
    </row>
    <row r="19">
      <c r="A19" s="9">
        <v>10.0</v>
      </c>
      <c r="B19" s="4" t="s">
        <v>42</v>
      </c>
      <c r="C19" s="4" t="s">
        <v>121</v>
      </c>
      <c r="D19" s="33">
        <f t="shared" si="1"/>
        <v>59.35833333</v>
      </c>
      <c r="E19" s="5" t="s">
        <v>267</v>
      </c>
      <c r="G19" s="5"/>
      <c r="H19" s="5"/>
      <c r="J19" s="4"/>
      <c r="L19" s="4"/>
    </row>
    <row r="20">
      <c r="A20" s="9">
        <v>11.0</v>
      </c>
      <c r="B20" s="4" t="s">
        <v>47</v>
      </c>
      <c r="C20" s="4" t="s">
        <v>121</v>
      </c>
      <c r="D20" s="33">
        <f t="shared" si="1"/>
        <v>59.35833333</v>
      </c>
      <c r="E20" s="5" t="s">
        <v>267</v>
      </c>
      <c r="G20" s="5"/>
      <c r="H20" s="5"/>
    </row>
    <row r="21">
      <c r="A21" s="9">
        <v>12.0</v>
      </c>
      <c r="B21" s="4" t="s">
        <v>49</v>
      </c>
      <c r="C21" s="4" t="s">
        <v>121</v>
      </c>
      <c r="D21" s="33">
        <f t="shared" si="1"/>
        <v>59.35833333</v>
      </c>
      <c r="E21" s="5" t="s">
        <v>267</v>
      </c>
      <c r="G21" s="5"/>
      <c r="H21" s="5"/>
      <c r="J21" s="4"/>
    </row>
    <row r="22">
      <c r="A22" s="9">
        <v>13.0</v>
      </c>
      <c r="B22" s="4" t="s">
        <v>51</v>
      </c>
      <c r="C22" s="4" t="s">
        <v>121</v>
      </c>
      <c r="D22" s="33">
        <f t="shared" si="1"/>
        <v>59.35833333</v>
      </c>
      <c r="E22" s="5" t="s">
        <v>267</v>
      </c>
    </row>
    <row r="23">
      <c r="A23" s="9">
        <v>14.0</v>
      </c>
      <c r="B23" s="4" t="s">
        <v>63</v>
      </c>
      <c r="C23" s="4" t="s">
        <v>121</v>
      </c>
      <c r="D23" s="33">
        <f t="shared" si="1"/>
        <v>59.35833333</v>
      </c>
      <c r="E23" s="5" t="s">
        <v>267</v>
      </c>
    </row>
    <row r="24">
      <c r="A24" s="9">
        <v>15.0</v>
      </c>
      <c r="B24" s="4" t="s">
        <v>67</v>
      </c>
      <c r="C24" s="4" t="s">
        <v>121</v>
      </c>
      <c r="D24" s="33">
        <f t="shared" si="1"/>
        <v>59.35833333</v>
      </c>
      <c r="E24" s="5" t="s">
        <v>267</v>
      </c>
    </row>
    <row r="27">
      <c r="B27" s="9" t="s">
        <v>399</v>
      </c>
      <c r="C27" s="9" t="s">
        <v>400</v>
      </c>
    </row>
    <row r="28">
      <c r="B28" s="5" t="s">
        <v>401</v>
      </c>
      <c r="C28" s="33">
        <v>0.0</v>
      </c>
    </row>
    <row r="29">
      <c r="C29" s="33"/>
    </row>
    <row r="30">
      <c r="B30" s="9" t="s">
        <v>402</v>
      </c>
      <c r="C30" s="49">
        <f>sum(C28:C29)</f>
        <v>0</v>
      </c>
    </row>
    <row r="33">
      <c r="B33" s="33"/>
    </row>
    <row r="34">
      <c r="B34" s="33"/>
    </row>
    <row r="35">
      <c r="B35" s="35"/>
    </row>
    <row r="36">
      <c r="B36" s="33"/>
    </row>
    <row r="37">
      <c r="B37" s="35"/>
    </row>
    <row r="38">
      <c r="B38" s="33"/>
    </row>
    <row r="42">
      <c r="B42" s="33"/>
    </row>
    <row r="43">
      <c r="B43" s="35"/>
    </row>
    <row r="44">
      <c r="B44" s="35"/>
    </row>
    <row r="45">
      <c r="B45" s="35"/>
    </row>
  </sheetData>
  <conditionalFormatting sqref="F10:F24">
    <cfRule type="colorScale" priority="1">
      <colorScale>
        <cfvo type="min"/>
        <cfvo type="max"/>
        <color rgb="FFFF0000"/>
        <color rgb="FF00FF00"/>
      </colorScale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13"/>
    <col customWidth="1" min="2" max="2" width="18.75"/>
    <col customWidth="1" min="3" max="3" width="11.13"/>
    <col customWidth="1" min="4" max="4" width="11.75"/>
    <col customWidth="1" min="5" max="5" width="7.38"/>
    <col customWidth="1" min="6" max="6" width="11.13"/>
  </cols>
  <sheetData>
    <row r="1">
      <c r="A1" s="9" t="s">
        <v>82</v>
      </c>
      <c r="B1" s="10" t="s">
        <v>149</v>
      </c>
      <c r="C1" s="10"/>
      <c r="D1" s="10"/>
      <c r="E1" s="10"/>
      <c r="F1" s="10"/>
    </row>
    <row r="2">
      <c r="A2" s="9" t="s">
        <v>84</v>
      </c>
      <c r="B2" s="10" t="s">
        <v>85</v>
      </c>
      <c r="C2" s="12"/>
      <c r="D2" s="12"/>
      <c r="E2" s="12"/>
      <c r="F2" s="12"/>
    </row>
    <row r="3">
      <c r="A3" s="9" t="s">
        <v>100</v>
      </c>
      <c r="B3" s="10" t="s">
        <v>101</v>
      </c>
      <c r="C3" s="10"/>
      <c r="D3" s="10"/>
      <c r="E3" s="10"/>
      <c r="F3" s="10"/>
    </row>
    <row r="4">
      <c r="A4" s="9" t="s">
        <v>104</v>
      </c>
      <c r="B4" s="5">
        <v>6.0</v>
      </c>
    </row>
    <row r="5">
      <c r="A5" s="9" t="s">
        <v>108</v>
      </c>
      <c r="B5" s="20">
        <f>850*1.0475</f>
        <v>890.375</v>
      </c>
    </row>
    <row r="6">
      <c r="A6" s="9" t="s">
        <v>110</v>
      </c>
      <c r="B6" s="22">
        <v>45167.0</v>
      </c>
    </row>
    <row r="9">
      <c r="A9" s="25"/>
      <c r="B9" s="9" t="s">
        <v>114</v>
      </c>
      <c r="C9" s="9" t="s">
        <v>263</v>
      </c>
      <c r="D9" s="9" t="s">
        <v>264</v>
      </c>
      <c r="E9" s="9" t="s">
        <v>265</v>
      </c>
      <c r="F9" s="48"/>
      <c r="G9" s="9"/>
      <c r="H9" s="9"/>
      <c r="I9" s="9"/>
      <c r="J9" s="9"/>
      <c r="K9" s="9"/>
      <c r="L9" s="9"/>
    </row>
    <row r="10">
      <c r="A10" s="9">
        <v>1.0</v>
      </c>
      <c r="B10" s="4" t="s">
        <v>123</v>
      </c>
      <c r="C10" s="4" t="s">
        <v>121</v>
      </c>
      <c r="D10" s="33">
        <f t="shared" ref="D10:D23" si="1">$B$5/14</f>
        <v>63.59821429</v>
      </c>
      <c r="E10" s="5" t="s">
        <v>267</v>
      </c>
      <c r="H10" s="34"/>
    </row>
    <row r="11">
      <c r="A11" s="9">
        <v>2.0</v>
      </c>
      <c r="B11" s="4" t="s">
        <v>17</v>
      </c>
      <c r="C11" s="4" t="s">
        <v>121</v>
      </c>
      <c r="D11" s="33">
        <f t="shared" si="1"/>
        <v>63.59821429</v>
      </c>
      <c r="E11" s="5" t="s">
        <v>267</v>
      </c>
      <c r="H11" s="34"/>
    </row>
    <row r="12">
      <c r="A12" s="9">
        <v>3.0</v>
      </c>
      <c r="B12" s="4" t="s">
        <v>23</v>
      </c>
      <c r="C12" s="4" t="s">
        <v>121</v>
      </c>
      <c r="D12" s="33">
        <f t="shared" si="1"/>
        <v>63.59821429</v>
      </c>
      <c r="E12" s="5" t="s">
        <v>267</v>
      </c>
      <c r="H12" s="34"/>
    </row>
    <row r="13">
      <c r="A13" s="9">
        <v>4.0</v>
      </c>
      <c r="B13" s="4" t="s">
        <v>29</v>
      </c>
      <c r="C13" s="4" t="s">
        <v>121</v>
      </c>
      <c r="D13" s="33">
        <f t="shared" si="1"/>
        <v>63.59821429</v>
      </c>
      <c r="E13" s="5" t="s">
        <v>267</v>
      </c>
      <c r="H13" s="34"/>
      <c r="K13" s="4"/>
    </row>
    <row r="14">
      <c r="A14" s="9">
        <v>5.0</v>
      </c>
      <c r="B14" s="4" t="s">
        <v>31</v>
      </c>
      <c r="C14" s="4" t="s">
        <v>121</v>
      </c>
      <c r="D14" s="33">
        <f t="shared" si="1"/>
        <v>63.59821429</v>
      </c>
      <c r="E14" s="5" t="s">
        <v>267</v>
      </c>
      <c r="H14" s="34"/>
      <c r="J14" s="4"/>
    </row>
    <row r="15">
      <c r="A15" s="9">
        <v>6.0</v>
      </c>
      <c r="B15" s="4" t="s">
        <v>80</v>
      </c>
      <c r="C15" s="4" t="s">
        <v>121</v>
      </c>
      <c r="D15" s="33">
        <f t="shared" si="1"/>
        <v>63.59821429</v>
      </c>
      <c r="E15" s="5" t="s">
        <v>267</v>
      </c>
      <c r="H15" s="34"/>
      <c r="I15" s="4"/>
      <c r="J15" s="4"/>
    </row>
    <row r="16">
      <c r="A16" s="9">
        <v>7.0</v>
      </c>
      <c r="B16" s="4" t="s">
        <v>38</v>
      </c>
      <c r="C16" s="4" t="s">
        <v>121</v>
      </c>
      <c r="D16" s="33">
        <f t="shared" si="1"/>
        <v>63.59821429</v>
      </c>
      <c r="E16" s="5" t="s">
        <v>267</v>
      </c>
    </row>
    <row r="17">
      <c r="A17" s="9">
        <v>8.0</v>
      </c>
      <c r="B17" s="4" t="s">
        <v>42</v>
      </c>
      <c r="C17" s="4" t="s">
        <v>121</v>
      </c>
      <c r="D17" s="33">
        <f t="shared" si="1"/>
        <v>63.59821429</v>
      </c>
      <c r="E17" s="5" t="s">
        <v>267</v>
      </c>
      <c r="K17" s="4"/>
    </row>
    <row r="18">
      <c r="A18" s="9">
        <v>9.0</v>
      </c>
      <c r="B18" s="4" t="s">
        <v>47</v>
      </c>
      <c r="C18" s="4" t="s">
        <v>121</v>
      </c>
      <c r="D18" s="33">
        <f t="shared" si="1"/>
        <v>63.59821429</v>
      </c>
      <c r="E18" s="5" t="s">
        <v>267</v>
      </c>
      <c r="G18" s="5"/>
      <c r="H18" s="5"/>
      <c r="J18" s="4"/>
    </row>
    <row r="19">
      <c r="A19" s="9">
        <v>10.0</v>
      </c>
      <c r="B19" s="4" t="s">
        <v>49</v>
      </c>
      <c r="C19" s="4" t="s">
        <v>121</v>
      </c>
      <c r="D19" s="33">
        <f t="shared" si="1"/>
        <v>63.59821429</v>
      </c>
      <c r="E19" s="5" t="s">
        <v>267</v>
      </c>
      <c r="G19" s="5"/>
      <c r="H19" s="5"/>
      <c r="J19" s="4"/>
      <c r="L19" s="4"/>
    </row>
    <row r="20">
      <c r="A20" s="9">
        <v>11.0</v>
      </c>
      <c r="B20" s="4" t="s">
        <v>51</v>
      </c>
      <c r="C20" s="4" t="s">
        <v>121</v>
      </c>
      <c r="D20" s="33">
        <f t="shared" si="1"/>
        <v>63.59821429</v>
      </c>
      <c r="E20" s="5" t="s">
        <v>267</v>
      </c>
      <c r="G20" s="5"/>
      <c r="H20" s="5"/>
    </row>
    <row r="21">
      <c r="A21" s="9">
        <v>12.0</v>
      </c>
      <c r="B21" s="4" t="s">
        <v>59</v>
      </c>
      <c r="C21" s="4" t="s">
        <v>121</v>
      </c>
      <c r="D21" s="33">
        <f t="shared" si="1"/>
        <v>63.59821429</v>
      </c>
      <c r="E21" s="5" t="s">
        <v>267</v>
      </c>
      <c r="G21" s="5"/>
      <c r="H21" s="5"/>
      <c r="J21" s="4"/>
    </row>
    <row r="22">
      <c r="A22" s="9">
        <v>13.0</v>
      </c>
      <c r="B22" s="4" t="s">
        <v>63</v>
      </c>
      <c r="C22" s="4" t="s">
        <v>121</v>
      </c>
      <c r="D22" s="33">
        <f t="shared" si="1"/>
        <v>63.59821429</v>
      </c>
      <c r="E22" s="5" t="s">
        <v>267</v>
      </c>
    </row>
    <row r="23">
      <c r="A23" s="9">
        <v>14.0</v>
      </c>
      <c r="B23" s="4" t="s">
        <v>67</v>
      </c>
      <c r="C23" s="4" t="s">
        <v>121</v>
      </c>
      <c r="D23" s="33">
        <f t="shared" si="1"/>
        <v>63.59821429</v>
      </c>
      <c r="E23" s="5" t="s">
        <v>267</v>
      </c>
    </row>
    <row r="24">
      <c r="A24" s="9"/>
      <c r="B24" s="4"/>
      <c r="C24" s="4"/>
      <c r="D24" s="33"/>
    </row>
    <row r="27">
      <c r="B27" s="9"/>
      <c r="C27" s="9"/>
    </row>
    <row r="28">
      <c r="C28" s="33"/>
    </row>
    <row r="29">
      <c r="C29" s="33"/>
    </row>
    <row r="30">
      <c r="B30" s="9"/>
      <c r="C30" s="49"/>
    </row>
    <row r="33">
      <c r="B33" s="33"/>
    </row>
    <row r="34">
      <c r="B34" s="33"/>
    </row>
    <row r="35">
      <c r="B35" s="35"/>
    </row>
    <row r="36">
      <c r="B36" s="33"/>
    </row>
    <row r="37">
      <c r="B37" s="35"/>
    </row>
    <row r="38">
      <c r="B38" s="33"/>
    </row>
    <row r="42">
      <c r="B42" s="33"/>
    </row>
    <row r="43">
      <c r="B43" s="35"/>
    </row>
    <row r="44">
      <c r="B44" s="35"/>
    </row>
    <row r="45">
      <c r="B45" s="35"/>
    </row>
  </sheetData>
  <conditionalFormatting sqref="F10:F24">
    <cfRule type="colorScale" priority="1">
      <colorScale>
        <cfvo type="min"/>
        <cfvo type="max"/>
        <color rgb="FFFF0000"/>
        <color rgb="FF00FF00"/>
      </colorScale>
    </cfRule>
  </conditionalFormatting>
  <drawing r:id="rId4"/>
  <legacy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13"/>
    <col customWidth="1" min="2" max="2" width="18.75"/>
    <col customWidth="1" min="3" max="3" width="11.13"/>
    <col customWidth="1" min="4" max="4" width="11.75"/>
    <col customWidth="1" min="5" max="5" width="7.38"/>
    <col customWidth="1" min="6" max="6" width="11.13"/>
  </cols>
  <sheetData>
    <row r="1">
      <c r="A1" s="9" t="s">
        <v>82</v>
      </c>
      <c r="B1" s="10" t="s">
        <v>180</v>
      </c>
      <c r="C1" s="10"/>
      <c r="D1" s="10"/>
      <c r="E1" s="10"/>
      <c r="F1" s="10"/>
    </row>
    <row r="2">
      <c r="A2" s="9" t="s">
        <v>84</v>
      </c>
      <c r="B2" s="10" t="s">
        <v>85</v>
      </c>
      <c r="C2" s="12"/>
      <c r="D2" s="12"/>
      <c r="E2" s="12"/>
      <c r="F2" s="12"/>
    </row>
    <row r="3">
      <c r="A3" s="9" t="s">
        <v>100</v>
      </c>
      <c r="B3" s="10" t="s">
        <v>101</v>
      </c>
      <c r="C3" s="10"/>
      <c r="D3" s="10"/>
      <c r="E3" s="10"/>
      <c r="F3" s="10"/>
    </row>
    <row r="4">
      <c r="A4" s="9" t="s">
        <v>104</v>
      </c>
      <c r="B4" s="5">
        <v>12.0</v>
      </c>
    </row>
    <row r="5">
      <c r="A5" s="9" t="s">
        <v>108</v>
      </c>
      <c r="B5" s="20">
        <f>1850*(1+0.0475)</f>
        <v>1937.875</v>
      </c>
    </row>
    <row r="6">
      <c r="A6" s="9" t="s">
        <v>110</v>
      </c>
      <c r="B6" s="22">
        <v>45209.0</v>
      </c>
    </row>
    <row r="9">
      <c r="A9" s="25"/>
      <c r="B9" s="9" t="s">
        <v>114</v>
      </c>
      <c r="C9" s="9" t="s">
        <v>263</v>
      </c>
      <c r="D9" s="9" t="s">
        <v>264</v>
      </c>
      <c r="E9" s="9" t="s">
        <v>265</v>
      </c>
      <c r="F9" s="48"/>
      <c r="G9" s="9"/>
      <c r="H9" s="9"/>
      <c r="I9" s="9"/>
      <c r="J9" s="9"/>
      <c r="K9" s="9"/>
      <c r="L9" s="9"/>
    </row>
    <row r="10">
      <c r="A10" s="9">
        <v>1.0</v>
      </c>
      <c r="B10" s="4" t="s">
        <v>123</v>
      </c>
      <c r="C10" s="4" t="s">
        <v>121</v>
      </c>
      <c r="D10" s="33">
        <f t="shared" ref="D10:D21" si="1">$B$5/12</f>
        <v>161.4895833</v>
      </c>
      <c r="E10" s="5" t="s">
        <v>267</v>
      </c>
      <c r="H10" s="34"/>
    </row>
    <row r="11">
      <c r="A11" s="9">
        <v>2.0</v>
      </c>
      <c r="B11" s="4" t="s">
        <v>17</v>
      </c>
      <c r="C11" s="4" t="s">
        <v>121</v>
      </c>
      <c r="D11" s="33">
        <f t="shared" si="1"/>
        <v>161.4895833</v>
      </c>
      <c r="E11" s="5" t="s">
        <v>267</v>
      </c>
      <c r="H11" s="34"/>
    </row>
    <row r="12">
      <c r="A12" s="9">
        <v>3.0</v>
      </c>
      <c r="B12" s="4" t="s">
        <v>23</v>
      </c>
      <c r="C12" s="4" t="s">
        <v>121</v>
      </c>
      <c r="D12" s="33">
        <f t="shared" si="1"/>
        <v>161.4895833</v>
      </c>
      <c r="E12" s="5" t="s">
        <v>267</v>
      </c>
      <c r="H12" s="34"/>
    </row>
    <row r="13">
      <c r="A13" s="9">
        <v>4.0</v>
      </c>
      <c r="B13" s="4" t="s">
        <v>29</v>
      </c>
      <c r="C13" s="4" t="s">
        <v>121</v>
      </c>
      <c r="D13" s="33">
        <f t="shared" si="1"/>
        <v>161.4895833</v>
      </c>
      <c r="E13" s="5" t="s">
        <v>267</v>
      </c>
      <c r="H13" s="34"/>
      <c r="K13" s="4"/>
    </row>
    <row r="14">
      <c r="A14" s="9">
        <v>5.0</v>
      </c>
      <c r="B14" s="4" t="s">
        <v>31</v>
      </c>
      <c r="C14" s="4" t="s">
        <v>121</v>
      </c>
      <c r="D14" s="33">
        <f t="shared" si="1"/>
        <v>161.4895833</v>
      </c>
      <c r="E14" s="5" t="s">
        <v>267</v>
      </c>
      <c r="H14" s="34"/>
      <c r="J14" s="4"/>
    </row>
    <row r="15">
      <c r="A15" s="9">
        <v>6.0</v>
      </c>
      <c r="B15" s="4" t="s">
        <v>38</v>
      </c>
      <c r="C15" s="4" t="s">
        <v>121</v>
      </c>
      <c r="D15" s="33">
        <f t="shared" si="1"/>
        <v>161.4895833</v>
      </c>
      <c r="E15" s="5" t="s">
        <v>267</v>
      </c>
    </row>
    <row r="16">
      <c r="A16" s="9">
        <v>7.0</v>
      </c>
      <c r="B16" s="4" t="s">
        <v>42</v>
      </c>
      <c r="C16" s="4" t="s">
        <v>121</v>
      </c>
      <c r="D16" s="33">
        <f t="shared" si="1"/>
        <v>161.4895833</v>
      </c>
      <c r="E16" s="5" t="s">
        <v>267</v>
      </c>
      <c r="K16" s="4"/>
    </row>
    <row r="17">
      <c r="A17" s="9">
        <v>8.0</v>
      </c>
      <c r="B17" s="4" t="s">
        <v>47</v>
      </c>
      <c r="C17" s="4" t="s">
        <v>121</v>
      </c>
      <c r="D17" s="33">
        <f t="shared" si="1"/>
        <v>161.4895833</v>
      </c>
      <c r="E17" s="5" t="s">
        <v>267</v>
      </c>
      <c r="G17" s="5"/>
      <c r="H17" s="5"/>
      <c r="J17" s="4"/>
    </row>
    <row r="18">
      <c r="A18" s="9">
        <v>9.0</v>
      </c>
      <c r="B18" s="4" t="s">
        <v>49</v>
      </c>
      <c r="C18" s="4" t="s">
        <v>121</v>
      </c>
      <c r="D18" s="33">
        <f t="shared" si="1"/>
        <v>161.4895833</v>
      </c>
      <c r="E18" s="5" t="s">
        <v>267</v>
      </c>
      <c r="G18" s="5"/>
      <c r="H18" s="5"/>
      <c r="J18" s="4"/>
      <c r="L18" s="4"/>
    </row>
    <row r="19">
      <c r="A19" s="9">
        <v>10.0</v>
      </c>
      <c r="B19" s="4" t="s">
        <v>51</v>
      </c>
      <c r="C19" s="4" t="s">
        <v>121</v>
      </c>
      <c r="D19" s="33">
        <f t="shared" si="1"/>
        <v>161.4895833</v>
      </c>
      <c r="E19" s="5" t="s">
        <v>267</v>
      </c>
      <c r="G19" s="5"/>
      <c r="H19" s="5"/>
    </row>
    <row r="20">
      <c r="A20" s="9">
        <v>11.0</v>
      </c>
      <c r="B20" s="4" t="s">
        <v>59</v>
      </c>
      <c r="C20" s="4" t="s">
        <v>121</v>
      </c>
      <c r="D20" s="33">
        <f t="shared" si="1"/>
        <v>161.4895833</v>
      </c>
      <c r="E20" s="5" t="s">
        <v>267</v>
      </c>
      <c r="G20" s="5"/>
      <c r="H20" s="5"/>
      <c r="J20" s="4"/>
    </row>
    <row r="21">
      <c r="A21" s="9">
        <v>12.0</v>
      </c>
      <c r="B21" s="4" t="s">
        <v>63</v>
      </c>
      <c r="C21" s="4" t="s">
        <v>121</v>
      </c>
      <c r="D21" s="33">
        <f t="shared" si="1"/>
        <v>161.4895833</v>
      </c>
      <c r="E21" s="5" t="s">
        <v>267</v>
      </c>
    </row>
    <row r="24">
      <c r="B24" s="9"/>
      <c r="C24" s="9"/>
    </row>
    <row r="25">
      <c r="C25" s="33"/>
    </row>
    <row r="26">
      <c r="C26" s="33"/>
    </row>
    <row r="27">
      <c r="B27" s="9"/>
      <c r="C27" s="49"/>
    </row>
    <row r="30">
      <c r="B30" s="33"/>
    </row>
    <row r="31">
      <c r="B31" s="33"/>
    </row>
    <row r="32">
      <c r="B32" s="35"/>
    </row>
    <row r="33">
      <c r="B33" s="33"/>
    </row>
    <row r="34">
      <c r="B34" s="35"/>
    </row>
    <row r="35">
      <c r="B35" s="33"/>
    </row>
    <row r="39">
      <c r="B39" s="33"/>
    </row>
    <row r="40">
      <c r="B40" s="35"/>
    </row>
    <row r="41">
      <c r="B41" s="35"/>
    </row>
    <row r="42">
      <c r="B42" s="35"/>
    </row>
  </sheetData>
  <conditionalFormatting sqref="F10:F21">
    <cfRule type="colorScale" priority="1">
      <colorScale>
        <cfvo type="min"/>
        <cfvo type="max"/>
        <color rgb="FFFF0000"/>
        <color rgb="FF00FF00"/>
      </colorScale>
    </cfRule>
  </conditionalFormatting>
  <drawing r:id="rId4"/>
  <legacy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8.75"/>
    <col customWidth="1" min="3" max="5" width="15.13"/>
    <col customWidth="1" min="6" max="6" width="3.13"/>
    <col customWidth="1" min="7" max="13" width="15.38"/>
  </cols>
  <sheetData>
    <row r="1">
      <c r="A1" s="9" t="s">
        <v>82</v>
      </c>
      <c r="B1" s="10" t="s">
        <v>239</v>
      </c>
      <c r="C1" s="10"/>
      <c r="D1" s="10"/>
      <c r="E1" s="10"/>
      <c r="F1" s="10"/>
    </row>
    <row r="2">
      <c r="A2" s="9" t="s">
        <v>84</v>
      </c>
      <c r="B2" s="10" t="s">
        <v>150</v>
      </c>
      <c r="C2" s="12"/>
      <c r="D2" s="12"/>
      <c r="E2" s="12"/>
      <c r="F2" s="12"/>
    </row>
    <row r="3">
      <c r="A3" s="9" t="s">
        <v>100</v>
      </c>
      <c r="B3" s="10" t="s">
        <v>151</v>
      </c>
      <c r="C3" s="10"/>
      <c r="D3" s="10"/>
      <c r="E3" s="10"/>
      <c r="F3" s="10"/>
    </row>
    <row r="4">
      <c r="A4" s="9" t="s">
        <v>104</v>
      </c>
      <c r="B4" s="5">
        <v>6.0</v>
      </c>
    </row>
    <row r="5">
      <c r="A5" s="9" t="s">
        <v>108</v>
      </c>
      <c r="B5" s="69">
        <v>890.38</v>
      </c>
    </row>
    <row r="7">
      <c r="A7" s="25"/>
      <c r="B7" s="9" t="s">
        <v>114</v>
      </c>
      <c r="C7" s="9" t="s">
        <v>263</v>
      </c>
      <c r="D7" s="9" t="s">
        <v>325</v>
      </c>
    </row>
    <row r="8">
      <c r="A8" s="25"/>
      <c r="B8" s="5"/>
      <c r="G8" s="9"/>
      <c r="H8" s="9"/>
      <c r="I8" s="9"/>
      <c r="J8" s="9"/>
      <c r="K8" s="9"/>
      <c r="L8" s="9"/>
      <c r="M8" s="9"/>
    </row>
    <row r="9">
      <c r="A9" s="9">
        <v>1.0</v>
      </c>
      <c r="B9" s="5" t="s">
        <v>324</v>
      </c>
      <c r="C9" s="4" t="s">
        <v>10</v>
      </c>
      <c r="D9" s="4" t="s">
        <v>10</v>
      </c>
      <c r="E9" s="87">
        <f t="shared" ref="E9:E21" si="1">$B$5/13</f>
        <v>68.49076923</v>
      </c>
      <c r="G9" s="9"/>
    </row>
    <row r="10">
      <c r="A10" s="9">
        <v>2.0</v>
      </c>
      <c r="B10" s="5" t="s">
        <v>17</v>
      </c>
      <c r="C10" s="4" t="s">
        <v>10</v>
      </c>
      <c r="D10" s="4" t="s">
        <v>10</v>
      </c>
      <c r="E10" s="87">
        <f t="shared" si="1"/>
        <v>68.49076923</v>
      </c>
      <c r="G10" s="9"/>
    </row>
    <row r="11">
      <c r="A11" s="9">
        <v>3.0</v>
      </c>
      <c r="B11" s="5" t="s">
        <v>167</v>
      </c>
      <c r="C11" s="4" t="s">
        <v>10</v>
      </c>
      <c r="D11" s="33"/>
      <c r="E11" s="64">
        <f t="shared" si="1"/>
        <v>68.49076923</v>
      </c>
      <c r="G11" s="9"/>
    </row>
    <row r="12">
      <c r="A12" s="9">
        <v>4.0</v>
      </c>
      <c r="B12" s="5" t="s">
        <v>31</v>
      </c>
      <c r="C12" s="4" t="s">
        <v>10</v>
      </c>
      <c r="D12" s="4" t="s">
        <v>10</v>
      </c>
      <c r="E12" s="87">
        <f t="shared" si="1"/>
        <v>68.49076923</v>
      </c>
      <c r="G12" s="9"/>
    </row>
    <row r="13">
      <c r="A13" s="9">
        <v>5.0</v>
      </c>
      <c r="B13" s="5" t="s">
        <v>20</v>
      </c>
      <c r="C13" s="4" t="s">
        <v>10</v>
      </c>
      <c r="D13" s="4" t="s">
        <v>10</v>
      </c>
      <c r="E13" s="88">
        <f t="shared" si="1"/>
        <v>68.49076923</v>
      </c>
      <c r="G13" s="9"/>
    </row>
    <row r="14">
      <c r="A14" s="9">
        <v>6.0</v>
      </c>
      <c r="B14" s="5" t="s">
        <v>168</v>
      </c>
      <c r="C14" s="4" t="s">
        <v>10</v>
      </c>
      <c r="D14" s="4" t="s">
        <v>10</v>
      </c>
      <c r="E14" s="88">
        <f t="shared" si="1"/>
        <v>68.49076923</v>
      </c>
      <c r="G14" s="9"/>
    </row>
    <row r="15">
      <c r="A15" s="9">
        <v>7.0</v>
      </c>
      <c r="B15" s="5" t="s">
        <v>29</v>
      </c>
      <c r="C15" s="4" t="s">
        <v>10</v>
      </c>
      <c r="D15" s="4" t="s">
        <v>10</v>
      </c>
      <c r="E15" s="88">
        <f t="shared" si="1"/>
        <v>68.49076923</v>
      </c>
      <c r="G15" s="9"/>
    </row>
    <row r="16">
      <c r="A16" s="9">
        <v>8.0</v>
      </c>
      <c r="B16" s="5" t="s">
        <v>326</v>
      </c>
      <c r="C16" s="4" t="s">
        <v>10</v>
      </c>
      <c r="D16" s="4" t="s">
        <v>10</v>
      </c>
      <c r="E16" s="88">
        <f t="shared" si="1"/>
        <v>68.49076923</v>
      </c>
      <c r="G16" s="9"/>
    </row>
    <row r="17">
      <c r="A17" s="9">
        <v>9.0</v>
      </c>
      <c r="B17" s="5" t="s">
        <v>54</v>
      </c>
      <c r="C17" s="4" t="s">
        <v>10</v>
      </c>
      <c r="D17" s="4" t="s">
        <v>10</v>
      </c>
      <c r="E17" s="88">
        <f t="shared" si="1"/>
        <v>68.49076923</v>
      </c>
      <c r="G17" s="9"/>
    </row>
    <row r="18">
      <c r="A18" s="9">
        <v>10.0</v>
      </c>
      <c r="B18" s="5" t="s">
        <v>51</v>
      </c>
      <c r="C18" s="4" t="s">
        <v>10</v>
      </c>
      <c r="D18" s="33" t="s">
        <v>10</v>
      </c>
      <c r="E18" s="88">
        <f t="shared" si="1"/>
        <v>68.49076923</v>
      </c>
      <c r="G18" s="9"/>
    </row>
    <row r="19">
      <c r="A19" s="9">
        <v>11.0</v>
      </c>
      <c r="B19" s="5" t="s">
        <v>47</v>
      </c>
      <c r="C19" s="4" t="s">
        <v>10</v>
      </c>
      <c r="D19" s="4" t="s">
        <v>10</v>
      </c>
      <c r="E19" s="88">
        <f t="shared" si="1"/>
        <v>68.49076923</v>
      </c>
      <c r="G19" s="9"/>
    </row>
    <row r="20">
      <c r="A20" s="9">
        <v>12.0</v>
      </c>
      <c r="B20" s="5" t="s">
        <v>283</v>
      </c>
      <c r="C20" s="4" t="s">
        <v>10</v>
      </c>
      <c r="D20" s="4" t="s">
        <v>10</v>
      </c>
      <c r="E20" s="88">
        <f t="shared" si="1"/>
        <v>68.49076923</v>
      </c>
      <c r="G20" s="9"/>
    </row>
    <row r="21">
      <c r="A21" s="9">
        <v>13.0</v>
      </c>
      <c r="B21" s="5" t="s">
        <v>45</v>
      </c>
      <c r="C21" s="4" t="s">
        <v>10</v>
      </c>
      <c r="D21" s="4" t="s">
        <v>10</v>
      </c>
      <c r="E21" s="88">
        <f t="shared" si="1"/>
        <v>68.49076923</v>
      </c>
      <c r="G21" s="9"/>
    </row>
    <row r="22">
      <c r="A22" s="9"/>
      <c r="C22" s="4"/>
      <c r="D22" s="4"/>
      <c r="E22" s="63"/>
      <c r="G22" s="9"/>
    </row>
    <row r="23">
      <c r="A23" s="9"/>
      <c r="C23" s="4"/>
      <c r="D23" s="4"/>
      <c r="E23" s="64"/>
      <c r="G23" s="9"/>
    </row>
    <row r="24">
      <c r="G24" s="9"/>
    </row>
    <row r="25">
      <c r="G25" s="9"/>
    </row>
    <row r="26">
      <c r="G26" s="9"/>
    </row>
    <row r="27">
      <c r="G27" s="9"/>
    </row>
    <row r="28">
      <c r="G28" s="9"/>
    </row>
    <row r="32">
      <c r="B32" s="33"/>
    </row>
    <row r="33">
      <c r="B33" s="33"/>
    </row>
    <row r="34">
      <c r="B34" s="35"/>
    </row>
    <row r="35">
      <c r="B35" s="33"/>
    </row>
    <row r="36">
      <c r="B36" s="35"/>
    </row>
    <row r="37">
      <c r="B37" s="33"/>
    </row>
    <row r="41">
      <c r="B41" s="33"/>
    </row>
    <row r="42">
      <c r="B42" s="35"/>
    </row>
    <row r="43">
      <c r="B43" s="35"/>
    </row>
    <row r="44">
      <c r="B44" s="35"/>
    </row>
  </sheetData>
  <drawing r:id="rId1"/>
</worksheet>
</file>